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defaultThemeVersion="124226"/>
  <mc:AlternateContent xmlns:mc="http://schemas.openxmlformats.org/markup-compatibility/2006">
    <mc:Choice Requires="x15">
      <x15ac:absPath xmlns:x15ac="http://schemas.microsoft.com/office/spreadsheetml/2010/11/ac" url="/Users/Sonnewald/Library/CloudStorage/Box-Box/CeMPA shared area/_SimPaths/documentation/"/>
    </mc:Choice>
  </mc:AlternateContent>
  <xr:revisionPtr revIDLastSave="0" documentId="13_ncr:1_{BB0CF5AE-7CE7-424B-BA13-2F8825DE7F43}" xr6:coauthVersionLast="47" xr6:coauthVersionMax="47" xr10:uidLastSave="{00000000-0000-0000-0000-000000000000}"/>
  <bookViews>
    <workbookView xWindow="30240" yWindow="620" windowWidth="68800" windowHeight="26380" tabRatio="652" activeTab="1" xr2:uid="{00000000-000D-0000-FFFF-FFFF00000000}"/>
  </bookViews>
  <sheets>
    <sheet name="Cover" sheetId="9" r:id="rId1"/>
    <sheet name="Variables" sheetId="1" r:id="rId2"/>
    <sheet name="Rules" sheetId="5" r:id="rId3"/>
    <sheet name="Modules" sheetId="7" r:id="rId4"/>
    <sheet name="Abbreviations" sheetId="4" r:id="rId5"/>
    <sheet name="Coding Style" sheetId="3" r:id="rId6"/>
    <sheet name="Country Specific Vars" sheetId="11" r:id="rId7"/>
  </sheets>
  <definedNames>
    <definedName name="_xlnm._FilterDatabase" localSheetId="1" hidden="1">Variables!$A$1:$T$392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64" i="1" l="1"/>
  <c r="C264" i="1" a="1"/>
  <c r="C264" i="1" s="1"/>
  <c r="J264" i="1" s="1"/>
  <c r="M132" i="1"/>
  <c r="C132" i="1" a="1"/>
  <c r="C132" i="1" s="1"/>
  <c r="J132" i="1" s="1"/>
  <c r="M277" i="1"/>
  <c r="M235"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9" i="1"/>
  <c r="M60" i="1"/>
  <c r="M61" i="1"/>
  <c r="M63" i="1"/>
  <c r="M64" i="1"/>
  <c r="M65" i="1"/>
  <c r="M66" i="1"/>
  <c r="M67" i="1"/>
  <c r="M68" i="1"/>
  <c r="M69" i="1"/>
  <c r="M70" i="1"/>
  <c r="M71" i="1"/>
  <c r="M72" i="1"/>
  <c r="M73" i="1"/>
  <c r="M74" i="1"/>
  <c r="M75" i="1"/>
  <c r="M76" i="1"/>
  <c r="M77" i="1"/>
  <c r="M78" i="1"/>
  <c r="M79" i="1"/>
  <c r="M80" i="1"/>
  <c r="M81" i="1"/>
  <c r="M82" i="1"/>
  <c r="M83" i="1"/>
  <c r="M84" i="1"/>
  <c r="M85"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6" i="1"/>
  <c r="M117" i="1"/>
  <c r="M118" i="1"/>
  <c r="M119" i="1"/>
  <c r="M120" i="1"/>
  <c r="M121" i="1"/>
  <c r="M122" i="1"/>
  <c r="M123" i="1"/>
  <c r="M124" i="1"/>
  <c r="M125" i="1"/>
  <c r="M126" i="1"/>
  <c r="M127" i="1"/>
  <c r="M128" i="1"/>
  <c r="M129" i="1"/>
  <c r="M130" i="1"/>
  <c r="M131" i="1"/>
  <c r="M133" i="1"/>
  <c r="M134" i="1"/>
  <c r="M135" i="1"/>
  <c r="M136" i="1"/>
  <c r="M137" i="1"/>
  <c r="M138" i="1"/>
  <c r="M139"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4" i="1"/>
  <c r="M236" i="1"/>
  <c r="M237" i="1"/>
  <c r="M238" i="1"/>
  <c r="M239" i="1"/>
  <c r="M240" i="1"/>
  <c r="M241" i="1"/>
  <c r="M242" i="1"/>
  <c r="M243" i="1"/>
  <c r="M244" i="1"/>
  <c r="M245" i="1"/>
  <c r="M246" i="1"/>
  <c r="M247" i="1"/>
  <c r="M248" i="1"/>
  <c r="M249" i="1"/>
  <c r="M250" i="1"/>
  <c r="M251" i="1"/>
  <c r="M252" i="1"/>
  <c r="M253" i="1"/>
  <c r="M254" i="1"/>
  <c r="M255" i="1"/>
  <c r="M256" i="1"/>
  <c r="M257" i="1"/>
  <c r="M351" i="1"/>
  <c r="M258" i="1"/>
  <c r="M259" i="1"/>
  <c r="M261" i="1"/>
  <c r="M262" i="1"/>
  <c r="M263" i="1"/>
  <c r="M265" i="1"/>
  <c r="M266" i="1"/>
  <c r="M267" i="1"/>
  <c r="M268" i="1"/>
  <c r="M269" i="1"/>
  <c r="M271" i="1"/>
  <c r="M272" i="1"/>
  <c r="M273" i="1"/>
  <c r="M274" i="1"/>
  <c r="M275" i="1"/>
  <c r="M276" i="1"/>
  <c r="M189"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2" i="1"/>
  <c r="M343" i="1"/>
  <c r="M344" i="1"/>
  <c r="M345" i="1"/>
  <c r="M346" i="1"/>
  <c r="M347" i="1"/>
  <c r="M348" i="1"/>
  <c r="M349" i="1"/>
  <c r="M350"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86" i="1"/>
  <c r="M270" i="1"/>
  <c r="M341" i="1"/>
  <c r="M232" i="1"/>
  <c r="M233" i="1"/>
  <c r="M260" i="1"/>
  <c r="M140" i="1"/>
  <c r="M53" i="1"/>
  <c r="M55" i="1"/>
  <c r="M57" i="1"/>
  <c r="M54" i="1"/>
  <c r="M56" i="1"/>
  <c r="M58" i="1"/>
  <c r="M62" i="1"/>
  <c r="M115" i="1"/>
  <c r="C235" i="1" a="1"/>
  <c r="C235" i="1" s="1"/>
  <c r="J235" i="1" s="1"/>
  <c r="C277" i="1" a="1"/>
  <c r="C277" i="1" s="1"/>
  <c r="J277" i="1" s="1"/>
  <c r="C115" i="1" a="1"/>
  <c r="C115" i="1" s="1"/>
  <c r="J115" i="1" s="1"/>
  <c r="C62" i="1" a="1"/>
  <c r="C62" i="1" s="1"/>
  <c r="J62" i="1" s="1"/>
  <c r="C54" i="1" a="1"/>
  <c r="C54" i="1" s="1"/>
  <c r="J54" i="1" s="1"/>
  <c r="C56" i="1" a="1"/>
  <c r="C56" i="1" s="1"/>
  <c r="J56" i="1" s="1"/>
  <c r="C58" i="1" a="1"/>
  <c r="C58" i="1" s="1"/>
  <c r="J58" i="1" s="1"/>
  <c r="C53" i="1" a="1"/>
  <c r="C53" i="1" s="1"/>
  <c r="J53" i="1" s="1"/>
  <c r="C55" i="1" a="1"/>
  <c r="C55" i="1" s="1"/>
  <c r="J55" i="1" s="1"/>
  <c r="C57" i="1" a="1"/>
  <c r="C57" i="1" s="1"/>
  <c r="J57" i="1" s="1"/>
  <c r="C140" i="1" a="1"/>
  <c r="C140" i="1" s="1"/>
  <c r="J140" i="1" s="1"/>
  <c r="C260" i="1" a="1"/>
  <c r="C260" i="1" s="1"/>
  <c r="J260" i="1" s="1"/>
  <c r="C232" i="1" a="1"/>
  <c r="C232" i="1" s="1"/>
  <c r="J232" i="1" s="1"/>
  <c r="C233" i="1" a="1"/>
  <c r="C233" i="1" s="1"/>
  <c r="J233" i="1" s="1"/>
  <c r="C341" i="1" a="1"/>
  <c r="C341" i="1" s="1"/>
  <c r="J341" i="1" s="1"/>
  <c r="C270" i="1" a="1"/>
  <c r="C270" i="1" s="1"/>
  <c r="J270" i="1" s="1"/>
  <c r="C86" i="1" a="1"/>
  <c r="C86" i="1" s="1"/>
  <c r="J86" i="1" s="1"/>
  <c r="C3" i="1" a="1"/>
  <c r="C3" i="1" s="1"/>
  <c r="J3" i="1" s="1"/>
  <c r="C4" i="1" a="1"/>
  <c r="C4" i="1" s="1"/>
  <c r="J4" i="1" s="1"/>
  <c r="C5" i="1" a="1"/>
  <c r="C5" i="1" s="1"/>
  <c r="J5" i="1" s="1"/>
  <c r="C6" i="1" a="1"/>
  <c r="C6" i="1" s="1"/>
  <c r="J6" i="1" s="1"/>
  <c r="C7" i="1" a="1"/>
  <c r="C7" i="1" s="1"/>
  <c r="J7" i="1" s="1"/>
  <c r="C8" i="1" a="1"/>
  <c r="C8" i="1" s="1"/>
  <c r="J8" i="1" s="1"/>
  <c r="C9" i="1" a="1"/>
  <c r="C9" i="1" s="1"/>
  <c r="J9" i="1" s="1"/>
  <c r="C10" i="1" a="1"/>
  <c r="C10" i="1" s="1"/>
  <c r="J10" i="1" s="1"/>
  <c r="C11" i="1" a="1"/>
  <c r="C11" i="1" s="1"/>
  <c r="J11" i="1" s="1"/>
  <c r="C12" i="1" a="1"/>
  <c r="C12" i="1" s="1"/>
  <c r="J12" i="1" s="1"/>
  <c r="C13" i="1" a="1"/>
  <c r="C13" i="1" s="1"/>
  <c r="J13" i="1" s="1"/>
  <c r="C14" i="1" a="1"/>
  <c r="C14" i="1" s="1"/>
  <c r="J14" i="1" s="1"/>
  <c r="C15" i="1" a="1"/>
  <c r="C15" i="1" s="1"/>
  <c r="J15" i="1" s="1"/>
  <c r="C16" i="1" a="1"/>
  <c r="C16" i="1" s="1"/>
  <c r="J16" i="1" s="1"/>
  <c r="C17" i="1" a="1"/>
  <c r="C17" i="1" s="1"/>
  <c r="J17" i="1" s="1"/>
  <c r="C18" i="1" a="1"/>
  <c r="C18" i="1" s="1"/>
  <c r="J18" i="1" s="1"/>
  <c r="C19" i="1" a="1"/>
  <c r="C19" i="1" s="1"/>
  <c r="J19" i="1" s="1"/>
  <c r="C20" i="1" a="1"/>
  <c r="C20" i="1" s="1"/>
  <c r="J20" i="1" s="1"/>
  <c r="C21" i="1" a="1"/>
  <c r="C21" i="1" s="1"/>
  <c r="J21" i="1" s="1"/>
  <c r="C22" i="1" a="1"/>
  <c r="C22" i="1" s="1"/>
  <c r="J22" i="1" s="1"/>
  <c r="C23" i="1" a="1"/>
  <c r="C23" i="1" s="1"/>
  <c r="J23" i="1" s="1"/>
  <c r="C24" i="1" a="1"/>
  <c r="C24" i="1" s="1"/>
  <c r="J24" i="1" s="1"/>
  <c r="C25" i="1" a="1"/>
  <c r="C25" i="1" s="1"/>
  <c r="J25" i="1" s="1"/>
  <c r="C26" i="1" a="1"/>
  <c r="C26" i="1" s="1"/>
  <c r="J26" i="1" s="1"/>
  <c r="C27" i="1" a="1"/>
  <c r="C27" i="1" s="1"/>
  <c r="J27" i="1" s="1"/>
  <c r="C28" i="1" a="1"/>
  <c r="C28" i="1" s="1"/>
  <c r="J28" i="1" s="1"/>
  <c r="C29" i="1" a="1"/>
  <c r="C29" i="1" s="1"/>
  <c r="J29" i="1" s="1"/>
  <c r="C30" i="1" a="1"/>
  <c r="C30" i="1" s="1"/>
  <c r="J30" i="1" s="1"/>
  <c r="C31" i="1" a="1"/>
  <c r="C31" i="1" s="1"/>
  <c r="J31" i="1" s="1"/>
  <c r="C32" i="1" a="1"/>
  <c r="C32" i="1" s="1"/>
  <c r="J32" i="1" s="1"/>
  <c r="C33" i="1" a="1"/>
  <c r="C33" i="1" s="1"/>
  <c r="J33" i="1" s="1"/>
  <c r="C34" i="1" a="1"/>
  <c r="C34" i="1" s="1"/>
  <c r="J34" i="1" s="1"/>
  <c r="C35" i="1" a="1"/>
  <c r="C35" i="1" s="1"/>
  <c r="J35" i="1" s="1"/>
  <c r="C36" i="1" a="1"/>
  <c r="C36" i="1" s="1"/>
  <c r="J36" i="1" s="1"/>
  <c r="C37" i="1" a="1"/>
  <c r="C37" i="1" s="1"/>
  <c r="J37" i="1" s="1"/>
  <c r="C38" i="1" a="1"/>
  <c r="C38" i="1" s="1"/>
  <c r="J38" i="1" s="1"/>
  <c r="C39" i="1" a="1"/>
  <c r="C39" i="1" s="1"/>
  <c r="J39" i="1" s="1"/>
  <c r="C40" i="1" a="1"/>
  <c r="C40" i="1" s="1"/>
  <c r="J40" i="1" s="1"/>
  <c r="C41" i="1" a="1"/>
  <c r="C41" i="1" s="1"/>
  <c r="J41" i="1" s="1"/>
  <c r="C42" i="1" a="1"/>
  <c r="C42" i="1" s="1"/>
  <c r="J42" i="1" s="1"/>
  <c r="C43" i="1" a="1"/>
  <c r="C43" i="1" s="1"/>
  <c r="J43" i="1" s="1"/>
  <c r="C44" i="1" a="1"/>
  <c r="C44" i="1" s="1"/>
  <c r="J44" i="1" s="1"/>
  <c r="C45" i="1" a="1"/>
  <c r="C45" i="1" s="1"/>
  <c r="J45" i="1" s="1"/>
  <c r="C46" i="1" a="1"/>
  <c r="C46" i="1" s="1"/>
  <c r="J46" i="1" s="1"/>
  <c r="C47" i="1" a="1"/>
  <c r="C47" i="1" s="1"/>
  <c r="J47" i="1" s="1"/>
  <c r="C48" i="1" a="1"/>
  <c r="C48" i="1" s="1"/>
  <c r="J48" i="1" s="1"/>
  <c r="C49" i="1" a="1"/>
  <c r="C49" i="1" s="1"/>
  <c r="J49" i="1" s="1"/>
  <c r="C50" i="1" a="1"/>
  <c r="C50" i="1" s="1"/>
  <c r="J50" i="1" s="1"/>
  <c r="C51" i="1" a="1"/>
  <c r="C51" i="1" s="1"/>
  <c r="J51" i="1" s="1"/>
  <c r="C52" i="1" a="1"/>
  <c r="C52" i="1" s="1"/>
  <c r="J52" i="1" s="1"/>
  <c r="C59" i="1" a="1"/>
  <c r="C59" i="1" s="1"/>
  <c r="J59" i="1" s="1"/>
  <c r="C60" i="1" a="1"/>
  <c r="C60" i="1" s="1"/>
  <c r="J60" i="1" s="1"/>
  <c r="C61" i="1" a="1"/>
  <c r="C61" i="1" s="1"/>
  <c r="J61" i="1" s="1"/>
  <c r="C63" i="1" a="1"/>
  <c r="C63" i="1" s="1"/>
  <c r="J63" i="1" s="1"/>
  <c r="C64" i="1" a="1"/>
  <c r="C64" i="1" s="1"/>
  <c r="J64" i="1" s="1"/>
  <c r="C65" i="1" a="1"/>
  <c r="C65" i="1" s="1"/>
  <c r="J65" i="1" s="1"/>
  <c r="C66" i="1" a="1"/>
  <c r="C66" i="1" s="1"/>
  <c r="J66" i="1" s="1"/>
  <c r="C67" i="1" a="1"/>
  <c r="C67" i="1" s="1"/>
  <c r="J67" i="1" s="1"/>
  <c r="C68" i="1" a="1"/>
  <c r="C68" i="1" s="1"/>
  <c r="J68" i="1" s="1"/>
  <c r="C69" i="1" a="1"/>
  <c r="C69" i="1" s="1"/>
  <c r="J69" i="1" s="1"/>
  <c r="C70" i="1" a="1"/>
  <c r="C70" i="1" s="1"/>
  <c r="J70" i="1" s="1"/>
  <c r="C71" i="1" a="1"/>
  <c r="C71" i="1" s="1"/>
  <c r="J71" i="1" s="1"/>
  <c r="C72" i="1" a="1"/>
  <c r="C72" i="1" s="1"/>
  <c r="J72" i="1" s="1"/>
  <c r="C73" i="1" a="1"/>
  <c r="C73" i="1" s="1"/>
  <c r="J73" i="1" s="1"/>
  <c r="C74" i="1" a="1"/>
  <c r="C74" i="1" s="1"/>
  <c r="J74" i="1" s="1"/>
  <c r="C75" i="1" a="1"/>
  <c r="C75" i="1" s="1"/>
  <c r="J75" i="1" s="1"/>
  <c r="C76" i="1" a="1"/>
  <c r="C76" i="1" s="1"/>
  <c r="J76" i="1" s="1"/>
  <c r="C77" i="1" a="1"/>
  <c r="C77" i="1" s="1"/>
  <c r="J77" i="1" s="1"/>
  <c r="C78" i="1" a="1"/>
  <c r="C78" i="1" s="1"/>
  <c r="J78" i="1" s="1"/>
  <c r="C79" i="1" a="1"/>
  <c r="C79" i="1" s="1"/>
  <c r="J79" i="1" s="1"/>
  <c r="C80" i="1" a="1"/>
  <c r="C80" i="1" s="1"/>
  <c r="J80" i="1" s="1"/>
  <c r="C81" i="1" a="1"/>
  <c r="C81" i="1" s="1"/>
  <c r="J81" i="1" s="1"/>
  <c r="C82" i="1" a="1"/>
  <c r="C82" i="1" s="1"/>
  <c r="J82" i="1" s="1"/>
  <c r="C83" i="1" a="1"/>
  <c r="C83" i="1" s="1"/>
  <c r="J83" i="1" s="1"/>
  <c r="C84" i="1" a="1"/>
  <c r="C84" i="1" s="1"/>
  <c r="J84" i="1" s="1"/>
  <c r="C85" i="1" a="1"/>
  <c r="C85" i="1" s="1"/>
  <c r="J85" i="1" s="1"/>
  <c r="C87" i="1" a="1"/>
  <c r="C87" i="1" s="1"/>
  <c r="J87" i="1" s="1"/>
  <c r="C88" i="1" a="1"/>
  <c r="C88" i="1" s="1"/>
  <c r="J88" i="1" s="1"/>
  <c r="C89" i="1" a="1"/>
  <c r="C89" i="1" s="1"/>
  <c r="J89" i="1" s="1"/>
  <c r="C90" i="1" a="1"/>
  <c r="C90" i="1" s="1"/>
  <c r="J90" i="1" s="1"/>
  <c r="C91" i="1" a="1"/>
  <c r="C91" i="1" s="1"/>
  <c r="J91" i="1" s="1"/>
  <c r="C92" i="1" a="1"/>
  <c r="C92" i="1" s="1"/>
  <c r="J92" i="1" s="1"/>
  <c r="C93" i="1" a="1"/>
  <c r="C93" i="1" s="1"/>
  <c r="J93" i="1" s="1"/>
  <c r="C94" i="1" a="1"/>
  <c r="C94" i="1" s="1"/>
  <c r="J94" i="1" s="1"/>
  <c r="C95" i="1" a="1"/>
  <c r="C95" i="1" s="1"/>
  <c r="J95" i="1" s="1"/>
  <c r="C96" i="1" a="1"/>
  <c r="C96" i="1" s="1"/>
  <c r="J96" i="1" s="1"/>
  <c r="C97" i="1" a="1"/>
  <c r="C97" i="1" s="1"/>
  <c r="J97" i="1" s="1"/>
  <c r="C98" i="1" a="1"/>
  <c r="C98" i="1" s="1"/>
  <c r="J98" i="1" s="1"/>
  <c r="C99" i="1" a="1"/>
  <c r="C99" i="1" s="1"/>
  <c r="J99" i="1" s="1"/>
  <c r="C100" i="1" a="1"/>
  <c r="C100" i="1" s="1"/>
  <c r="J100" i="1" s="1"/>
  <c r="C101" i="1" a="1"/>
  <c r="C101" i="1" s="1"/>
  <c r="J101" i="1" s="1"/>
  <c r="C102" i="1" a="1"/>
  <c r="C102" i="1" s="1"/>
  <c r="J102" i="1" s="1"/>
  <c r="C103" i="1" a="1"/>
  <c r="C103" i="1" s="1"/>
  <c r="J103" i="1" s="1"/>
  <c r="C104" i="1" a="1"/>
  <c r="C104" i="1" s="1"/>
  <c r="J104" i="1" s="1"/>
  <c r="C105" i="1" a="1"/>
  <c r="C105" i="1" s="1"/>
  <c r="J105" i="1" s="1"/>
  <c r="C106" i="1" a="1"/>
  <c r="C106" i="1" s="1"/>
  <c r="J106" i="1" s="1"/>
  <c r="C107" i="1" a="1"/>
  <c r="C107" i="1" s="1"/>
  <c r="J107" i="1" s="1"/>
  <c r="C108" i="1" a="1"/>
  <c r="C108" i="1" s="1"/>
  <c r="J108" i="1" s="1"/>
  <c r="C109" i="1" a="1"/>
  <c r="C109" i="1" s="1"/>
  <c r="J109" i="1" s="1"/>
  <c r="C110" i="1" a="1"/>
  <c r="C110" i="1" s="1"/>
  <c r="J110" i="1" s="1"/>
  <c r="C111" i="1" a="1"/>
  <c r="C111" i="1" s="1"/>
  <c r="J111" i="1" s="1"/>
  <c r="C112" i="1" a="1"/>
  <c r="C112" i="1" s="1"/>
  <c r="J112" i="1" s="1"/>
  <c r="C113" i="1" a="1"/>
  <c r="C113" i="1" s="1"/>
  <c r="J113" i="1" s="1"/>
  <c r="C114" i="1" a="1"/>
  <c r="C114" i="1" s="1"/>
  <c r="J114" i="1" s="1"/>
  <c r="C116" i="1" a="1"/>
  <c r="C116" i="1" s="1"/>
  <c r="J116" i="1" s="1"/>
  <c r="C117" i="1" a="1"/>
  <c r="C117" i="1" s="1"/>
  <c r="J117" i="1" s="1"/>
  <c r="C118" i="1" a="1"/>
  <c r="C118" i="1" s="1"/>
  <c r="J118" i="1" s="1"/>
  <c r="C119" i="1" a="1"/>
  <c r="C119" i="1" s="1"/>
  <c r="J119" i="1" s="1"/>
  <c r="C120" i="1" a="1"/>
  <c r="C120" i="1" s="1"/>
  <c r="J120" i="1" s="1"/>
  <c r="C121" i="1" a="1"/>
  <c r="C121" i="1" s="1"/>
  <c r="J121" i="1" s="1"/>
  <c r="C122" i="1" a="1"/>
  <c r="C122" i="1" s="1"/>
  <c r="J122" i="1" s="1"/>
  <c r="C123" i="1" a="1"/>
  <c r="C123" i="1" s="1"/>
  <c r="J123" i="1" s="1"/>
  <c r="C124" i="1" a="1"/>
  <c r="C124" i="1" s="1"/>
  <c r="J124" i="1" s="1"/>
  <c r="C125" i="1" a="1"/>
  <c r="C125" i="1" s="1"/>
  <c r="J125" i="1" s="1"/>
  <c r="C126" i="1" a="1"/>
  <c r="C126" i="1" s="1"/>
  <c r="J126" i="1" s="1"/>
  <c r="C127" i="1" a="1"/>
  <c r="C127" i="1" s="1"/>
  <c r="J127" i="1" s="1"/>
  <c r="C128" i="1" a="1"/>
  <c r="C128" i="1" s="1"/>
  <c r="J128" i="1" s="1"/>
  <c r="C129" i="1" a="1"/>
  <c r="C129" i="1" s="1"/>
  <c r="J129" i="1" s="1"/>
  <c r="C130" i="1" a="1"/>
  <c r="C130" i="1" s="1"/>
  <c r="J130" i="1" s="1"/>
  <c r="C131" i="1" a="1"/>
  <c r="C131" i="1" s="1"/>
  <c r="J131" i="1" s="1"/>
  <c r="C133" i="1" a="1"/>
  <c r="C133" i="1" s="1"/>
  <c r="J133" i="1" s="1"/>
  <c r="C134" i="1" a="1"/>
  <c r="C134" i="1" s="1"/>
  <c r="J134" i="1" s="1"/>
  <c r="C135" i="1" a="1"/>
  <c r="C135" i="1" s="1"/>
  <c r="J135" i="1" s="1"/>
  <c r="C136" i="1" a="1"/>
  <c r="C136" i="1" s="1"/>
  <c r="J136" i="1" s="1"/>
  <c r="C137" i="1" a="1"/>
  <c r="C137" i="1" s="1"/>
  <c r="J137" i="1" s="1"/>
  <c r="C138" i="1" a="1"/>
  <c r="C138" i="1" s="1"/>
  <c r="J138" i="1" s="1"/>
  <c r="C139" i="1" a="1"/>
  <c r="C139" i="1" s="1"/>
  <c r="J139" i="1" s="1"/>
  <c r="C141" i="1" a="1"/>
  <c r="C141" i="1" s="1"/>
  <c r="J141" i="1" s="1"/>
  <c r="C142" i="1" a="1"/>
  <c r="C142" i="1" s="1"/>
  <c r="J142" i="1" s="1"/>
  <c r="C143" i="1" a="1"/>
  <c r="C143" i="1" s="1"/>
  <c r="J143" i="1" s="1"/>
  <c r="C144" i="1" a="1"/>
  <c r="C144" i="1" s="1"/>
  <c r="J144" i="1" s="1"/>
  <c r="C145" i="1" a="1"/>
  <c r="C145" i="1" s="1"/>
  <c r="J145" i="1" s="1"/>
  <c r="C146" i="1" a="1"/>
  <c r="C146" i="1" s="1"/>
  <c r="J146" i="1" s="1"/>
  <c r="C147" i="1" a="1"/>
  <c r="C147" i="1" s="1"/>
  <c r="J147" i="1" s="1"/>
  <c r="C148" i="1" a="1"/>
  <c r="C148" i="1" s="1"/>
  <c r="J148" i="1" s="1"/>
  <c r="C149" i="1" a="1"/>
  <c r="C149" i="1" s="1"/>
  <c r="J149" i="1" s="1"/>
  <c r="C150" i="1" a="1"/>
  <c r="C150" i="1" s="1"/>
  <c r="J150" i="1" s="1"/>
  <c r="C151" i="1" a="1"/>
  <c r="C151" i="1" s="1"/>
  <c r="J151" i="1" s="1"/>
  <c r="C152" i="1" a="1"/>
  <c r="C152" i="1" s="1"/>
  <c r="J152" i="1" s="1"/>
  <c r="C153" i="1" a="1"/>
  <c r="C153" i="1" s="1"/>
  <c r="J153" i="1" s="1"/>
  <c r="C154" i="1" a="1"/>
  <c r="C154" i="1" s="1"/>
  <c r="J154" i="1" s="1"/>
  <c r="C155" i="1" a="1"/>
  <c r="C155" i="1" s="1"/>
  <c r="J155" i="1" s="1"/>
  <c r="C156" i="1" a="1"/>
  <c r="C156" i="1" s="1"/>
  <c r="J156" i="1" s="1"/>
  <c r="C157" i="1" a="1"/>
  <c r="C157" i="1" s="1"/>
  <c r="J157" i="1" s="1"/>
  <c r="C158" i="1" a="1"/>
  <c r="C158" i="1" s="1"/>
  <c r="J158" i="1" s="1"/>
  <c r="C159" i="1" a="1"/>
  <c r="C159" i="1" s="1"/>
  <c r="J159" i="1" s="1"/>
  <c r="C160" i="1" a="1"/>
  <c r="C160" i="1" s="1"/>
  <c r="J160" i="1" s="1"/>
  <c r="C161" i="1" a="1"/>
  <c r="C161" i="1" s="1"/>
  <c r="J161" i="1" s="1"/>
  <c r="C162" i="1" a="1"/>
  <c r="C162" i="1" s="1"/>
  <c r="J162" i="1" s="1"/>
  <c r="C163" i="1" a="1"/>
  <c r="C163" i="1" s="1"/>
  <c r="J163" i="1" s="1"/>
  <c r="C164" i="1" a="1"/>
  <c r="C164" i="1" s="1"/>
  <c r="J164" i="1" s="1"/>
  <c r="C165" i="1" a="1"/>
  <c r="C165" i="1" s="1"/>
  <c r="J165" i="1" s="1"/>
  <c r="C166" i="1" a="1"/>
  <c r="C166" i="1" s="1"/>
  <c r="J166" i="1" s="1"/>
  <c r="C167" i="1" a="1"/>
  <c r="C167" i="1" s="1"/>
  <c r="J167" i="1" s="1"/>
  <c r="C168" i="1" a="1"/>
  <c r="C168" i="1" s="1"/>
  <c r="J168" i="1" s="1"/>
  <c r="C169" i="1" a="1"/>
  <c r="C169" i="1" s="1"/>
  <c r="J169" i="1" s="1"/>
  <c r="C170" i="1" a="1"/>
  <c r="C170" i="1" s="1"/>
  <c r="J170" i="1" s="1"/>
  <c r="C171" i="1" a="1"/>
  <c r="C171" i="1" s="1"/>
  <c r="J171" i="1" s="1"/>
  <c r="C172" i="1" a="1"/>
  <c r="C172" i="1" s="1"/>
  <c r="J172" i="1" s="1"/>
  <c r="C173" i="1" a="1"/>
  <c r="C173" i="1" s="1"/>
  <c r="J173" i="1" s="1"/>
  <c r="C174" i="1" a="1"/>
  <c r="C174" i="1" s="1"/>
  <c r="J174" i="1" s="1"/>
  <c r="C175" i="1" a="1"/>
  <c r="C175" i="1" s="1"/>
  <c r="J175" i="1" s="1"/>
  <c r="C176" i="1" a="1"/>
  <c r="C176" i="1" s="1"/>
  <c r="J176" i="1" s="1"/>
  <c r="C177" i="1" a="1"/>
  <c r="C177" i="1" s="1"/>
  <c r="J177" i="1" s="1"/>
  <c r="C178" i="1" a="1"/>
  <c r="C178" i="1" s="1"/>
  <c r="J178" i="1" s="1"/>
  <c r="C179" i="1" a="1"/>
  <c r="C179" i="1" s="1"/>
  <c r="J179" i="1" s="1"/>
  <c r="C180" i="1" a="1"/>
  <c r="C180" i="1" s="1"/>
  <c r="J180" i="1" s="1"/>
  <c r="C181" i="1" a="1"/>
  <c r="C181" i="1" s="1"/>
  <c r="J181" i="1" s="1"/>
  <c r="C182" i="1" a="1"/>
  <c r="C182" i="1" s="1"/>
  <c r="J182" i="1" s="1"/>
  <c r="C183" i="1" a="1"/>
  <c r="C183" i="1" s="1"/>
  <c r="J183" i="1" s="1"/>
  <c r="C184" i="1" a="1"/>
  <c r="C184" i="1" s="1"/>
  <c r="J184" i="1" s="1"/>
  <c r="C185" i="1" a="1"/>
  <c r="C185" i="1" s="1"/>
  <c r="J185" i="1" s="1"/>
  <c r="C186" i="1" a="1"/>
  <c r="C186" i="1" s="1"/>
  <c r="J186" i="1" s="1"/>
  <c r="C187" i="1" a="1"/>
  <c r="C187" i="1" s="1"/>
  <c r="J187" i="1" s="1"/>
  <c r="C188" i="1" a="1"/>
  <c r="C188" i="1" s="1"/>
  <c r="J188" i="1" s="1"/>
  <c r="C190" i="1" a="1"/>
  <c r="C190" i="1" s="1"/>
  <c r="J190" i="1" s="1"/>
  <c r="C191" i="1" a="1"/>
  <c r="C191" i="1" s="1"/>
  <c r="J191" i="1" s="1"/>
  <c r="C192" i="1" a="1"/>
  <c r="C192" i="1" s="1"/>
  <c r="J192" i="1" s="1"/>
  <c r="C193" i="1" a="1"/>
  <c r="C193" i="1" s="1"/>
  <c r="J193" i="1" s="1"/>
  <c r="C194" i="1" a="1"/>
  <c r="C194" i="1" s="1"/>
  <c r="J194" i="1" s="1"/>
  <c r="C195" i="1" a="1"/>
  <c r="C195" i="1" s="1"/>
  <c r="J195" i="1" s="1"/>
  <c r="C196" i="1" a="1"/>
  <c r="C196" i="1" s="1"/>
  <c r="J196" i="1" s="1"/>
  <c r="C197" i="1" a="1"/>
  <c r="C197" i="1" s="1"/>
  <c r="J197" i="1" s="1"/>
  <c r="C198" i="1" a="1"/>
  <c r="C198" i="1" s="1"/>
  <c r="J198" i="1" s="1"/>
  <c r="C199" i="1" a="1"/>
  <c r="C199" i="1" s="1"/>
  <c r="J199" i="1" s="1"/>
  <c r="C200" i="1" a="1"/>
  <c r="C200" i="1" s="1"/>
  <c r="J200" i="1" s="1"/>
  <c r="C201" i="1" a="1"/>
  <c r="C201" i="1" s="1"/>
  <c r="J201" i="1" s="1"/>
  <c r="C202" i="1" a="1"/>
  <c r="C202" i="1" s="1"/>
  <c r="J202" i="1" s="1"/>
  <c r="C203" i="1" a="1"/>
  <c r="C203" i="1" s="1"/>
  <c r="J203" i="1" s="1"/>
  <c r="C204" i="1" a="1"/>
  <c r="C204" i="1" s="1"/>
  <c r="J204" i="1" s="1"/>
  <c r="C205" i="1" a="1"/>
  <c r="C205" i="1" s="1"/>
  <c r="J205" i="1" s="1"/>
  <c r="C206" i="1" a="1"/>
  <c r="C206" i="1" s="1"/>
  <c r="J206" i="1" s="1"/>
  <c r="C207" i="1" a="1"/>
  <c r="C207" i="1" s="1"/>
  <c r="J207" i="1" s="1"/>
  <c r="C208" i="1" a="1"/>
  <c r="C208" i="1" s="1"/>
  <c r="J208" i="1" s="1"/>
  <c r="C209" i="1" a="1"/>
  <c r="C209" i="1" s="1"/>
  <c r="J209" i="1" s="1"/>
  <c r="C210" i="1" a="1"/>
  <c r="C210" i="1" s="1"/>
  <c r="J210" i="1" s="1"/>
  <c r="C211" i="1" a="1"/>
  <c r="C211" i="1" s="1"/>
  <c r="J211" i="1" s="1"/>
  <c r="C212" i="1" a="1"/>
  <c r="C212" i="1" s="1"/>
  <c r="J212" i="1" s="1"/>
  <c r="C213" i="1" a="1"/>
  <c r="C213" i="1" s="1"/>
  <c r="J213" i="1" s="1"/>
  <c r="C214" i="1" a="1"/>
  <c r="C214" i="1" s="1"/>
  <c r="J214" i="1" s="1"/>
  <c r="C215" i="1" a="1"/>
  <c r="C215" i="1" s="1"/>
  <c r="J215" i="1" s="1"/>
  <c r="C216" i="1" a="1"/>
  <c r="C216" i="1" s="1"/>
  <c r="J216" i="1" s="1"/>
  <c r="C217" i="1" a="1"/>
  <c r="C217" i="1" s="1"/>
  <c r="J217" i="1" s="1"/>
  <c r="C218" i="1" a="1"/>
  <c r="C218" i="1" s="1"/>
  <c r="J218" i="1" s="1"/>
  <c r="C219" i="1" a="1"/>
  <c r="C219" i="1" s="1"/>
  <c r="J219" i="1" s="1"/>
  <c r="C220" i="1" a="1"/>
  <c r="C220" i="1" s="1"/>
  <c r="J220" i="1" s="1"/>
  <c r="C221" i="1" a="1"/>
  <c r="C221" i="1" s="1"/>
  <c r="J221" i="1" s="1"/>
  <c r="C222" i="1" a="1"/>
  <c r="C222" i="1" s="1"/>
  <c r="J222" i="1" s="1"/>
  <c r="C223" i="1" a="1"/>
  <c r="C223" i="1" s="1"/>
  <c r="J223" i="1" s="1"/>
  <c r="C224" i="1" a="1"/>
  <c r="C224" i="1" s="1"/>
  <c r="J224" i="1" s="1"/>
  <c r="C225" i="1" a="1"/>
  <c r="C225" i="1" s="1"/>
  <c r="J225" i="1" s="1"/>
  <c r="C226" i="1" a="1"/>
  <c r="C226" i="1" s="1"/>
  <c r="J226" i="1" s="1"/>
  <c r="C227" i="1" a="1"/>
  <c r="C227" i="1" s="1"/>
  <c r="J227" i="1" s="1"/>
  <c r="C228" i="1" a="1"/>
  <c r="C228" i="1" s="1"/>
  <c r="J228" i="1" s="1"/>
  <c r="C229" i="1" a="1"/>
  <c r="C229" i="1" s="1"/>
  <c r="J229" i="1" s="1"/>
  <c r="C230" i="1" a="1"/>
  <c r="C230" i="1" s="1"/>
  <c r="J230" i="1" s="1"/>
  <c r="C231" i="1" a="1"/>
  <c r="C231" i="1" s="1"/>
  <c r="J231" i="1" s="1"/>
  <c r="C234" i="1" a="1"/>
  <c r="C234" i="1" s="1"/>
  <c r="J234" i="1" s="1"/>
  <c r="C236" i="1" a="1"/>
  <c r="C236" i="1" s="1"/>
  <c r="J236" i="1" s="1"/>
  <c r="C237" i="1" a="1"/>
  <c r="C237" i="1" s="1"/>
  <c r="J237" i="1" s="1"/>
  <c r="C238" i="1" a="1"/>
  <c r="C238" i="1" s="1"/>
  <c r="J238" i="1" s="1"/>
  <c r="C239" i="1" a="1"/>
  <c r="C239" i="1" s="1"/>
  <c r="J239" i="1" s="1"/>
  <c r="C240" i="1" a="1"/>
  <c r="C240" i="1" s="1"/>
  <c r="J240" i="1" s="1"/>
  <c r="C241" i="1" a="1"/>
  <c r="C241" i="1" s="1"/>
  <c r="J241" i="1" s="1"/>
  <c r="C242" i="1" a="1"/>
  <c r="C242" i="1" s="1"/>
  <c r="J242" i="1" s="1"/>
  <c r="C243" i="1" a="1"/>
  <c r="C243" i="1" s="1"/>
  <c r="J243" i="1" s="1"/>
  <c r="C244" i="1" a="1"/>
  <c r="C244" i="1" s="1"/>
  <c r="J244" i="1" s="1"/>
  <c r="C245" i="1" a="1"/>
  <c r="C245" i="1" s="1"/>
  <c r="J245" i="1" s="1"/>
  <c r="C246" i="1" a="1"/>
  <c r="C246" i="1" s="1"/>
  <c r="J246" i="1" s="1"/>
  <c r="C247" i="1" a="1"/>
  <c r="C247" i="1" s="1"/>
  <c r="J247" i="1" s="1"/>
  <c r="C248" i="1" a="1"/>
  <c r="C248" i="1" s="1"/>
  <c r="J248" i="1" s="1"/>
  <c r="C249" i="1" a="1"/>
  <c r="C249" i="1" s="1"/>
  <c r="J249" i="1" s="1"/>
  <c r="C250" i="1" a="1"/>
  <c r="C250" i="1" s="1"/>
  <c r="J250" i="1" s="1"/>
  <c r="C251" i="1" a="1"/>
  <c r="C251" i="1" s="1"/>
  <c r="J251" i="1" s="1"/>
  <c r="C252" i="1" a="1"/>
  <c r="C252" i="1" s="1"/>
  <c r="J252" i="1" s="1"/>
  <c r="C253" i="1" a="1"/>
  <c r="C253" i="1" s="1"/>
  <c r="J253" i="1" s="1"/>
  <c r="C254" i="1" a="1"/>
  <c r="C254" i="1" s="1"/>
  <c r="J254" i="1" s="1"/>
  <c r="C255" i="1" a="1"/>
  <c r="C255" i="1" s="1"/>
  <c r="J255" i="1" s="1"/>
  <c r="C256" i="1" a="1"/>
  <c r="C256" i="1" s="1"/>
  <c r="J256" i="1" s="1"/>
  <c r="C257" i="1" a="1"/>
  <c r="C257" i="1" s="1"/>
  <c r="J257" i="1" s="1"/>
  <c r="C351" i="1" a="1"/>
  <c r="C351" i="1" s="1"/>
  <c r="J351" i="1" s="1"/>
  <c r="C258" i="1" a="1"/>
  <c r="C258" i="1" s="1"/>
  <c r="J258" i="1" s="1"/>
  <c r="C259" i="1" a="1"/>
  <c r="C259" i="1" s="1"/>
  <c r="J259" i="1" s="1"/>
  <c r="C261" i="1" a="1"/>
  <c r="C261" i="1" s="1"/>
  <c r="J261" i="1" s="1"/>
  <c r="C262" i="1" a="1"/>
  <c r="C262" i="1" s="1"/>
  <c r="J262" i="1" s="1"/>
  <c r="C263" i="1" a="1"/>
  <c r="C263" i="1" s="1"/>
  <c r="J263" i="1" s="1"/>
  <c r="C265" i="1" a="1"/>
  <c r="C265" i="1" s="1"/>
  <c r="J265" i="1" s="1"/>
  <c r="C266" i="1" a="1"/>
  <c r="C266" i="1" s="1"/>
  <c r="J266" i="1" s="1"/>
  <c r="C267" i="1" a="1"/>
  <c r="C267" i="1" s="1"/>
  <c r="J267" i="1" s="1"/>
  <c r="C268" i="1" a="1"/>
  <c r="C268" i="1" s="1"/>
  <c r="J268" i="1" s="1"/>
  <c r="C269" i="1" a="1"/>
  <c r="C269" i="1" s="1"/>
  <c r="J269" i="1" s="1"/>
  <c r="C271" i="1" a="1"/>
  <c r="C271" i="1" s="1"/>
  <c r="J271" i="1" s="1"/>
  <c r="C272" i="1" a="1"/>
  <c r="C272" i="1" s="1"/>
  <c r="J272" i="1" s="1"/>
  <c r="C273" i="1" a="1"/>
  <c r="C273" i="1" s="1"/>
  <c r="J273" i="1" s="1"/>
  <c r="C274" i="1" a="1"/>
  <c r="C274" i="1" s="1"/>
  <c r="J274" i="1" s="1"/>
  <c r="C275" i="1" a="1"/>
  <c r="C275" i="1" s="1"/>
  <c r="J275" i="1" s="1"/>
  <c r="C276" i="1" a="1"/>
  <c r="C276" i="1" s="1"/>
  <c r="J276" i="1" s="1"/>
  <c r="C189" i="1" a="1"/>
  <c r="C189" i="1" s="1"/>
  <c r="J189" i="1" s="1"/>
  <c r="C278" i="1" a="1"/>
  <c r="C278" i="1" s="1"/>
  <c r="J278" i="1" s="1"/>
  <c r="C279" i="1" a="1"/>
  <c r="C279" i="1" s="1"/>
  <c r="J279" i="1" s="1"/>
  <c r="C280" i="1" a="1"/>
  <c r="C280" i="1" s="1"/>
  <c r="J280" i="1" s="1"/>
  <c r="C281" i="1" a="1"/>
  <c r="C281" i="1" s="1"/>
  <c r="J281" i="1" s="1"/>
  <c r="C282" i="1" a="1"/>
  <c r="C282" i="1" s="1"/>
  <c r="J282" i="1" s="1"/>
  <c r="C283" i="1" a="1"/>
  <c r="C283" i="1" s="1"/>
  <c r="J283" i="1" s="1"/>
  <c r="C284" i="1" a="1"/>
  <c r="C284" i="1" s="1"/>
  <c r="J284" i="1" s="1"/>
  <c r="C285" i="1" a="1"/>
  <c r="C285" i="1" s="1"/>
  <c r="J285" i="1" s="1"/>
  <c r="C286" i="1" a="1"/>
  <c r="C286" i="1" s="1"/>
  <c r="J286" i="1" s="1"/>
  <c r="C287" i="1" a="1"/>
  <c r="C287" i="1" s="1"/>
  <c r="J287" i="1" s="1"/>
  <c r="C288" i="1" a="1"/>
  <c r="C288" i="1" s="1"/>
  <c r="J288" i="1" s="1"/>
  <c r="C289" i="1" a="1"/>
  <c r="C289" i="1" s="1"/>
  <c r="J289" i="1" s="1"/>
  <c r="C290" i="1" a="1"/>
  <c r="C290" i="1" s="1"/>
  <c r="J290" i="1" s="1"/>
  <c r="C291" i="1" a="1"/>
  <c r="C291" i="1" s="1"/>
  <c r="J291" i="1" s="1"/>
  <c r="C292" i="1" a="1"/>
  <c r="C292" i="1" s="1"/>
  <c r="J292" i="1" s="1"/>
  <c r="C293" i="1" a="1"/>
  <c r="C293" i="1" s="1"/>
  <c r="J293" i="1" s="1"/>
  <c r="C294" i="1" a="1"/>
  <c r="C294" i="1" s="1"/>
  <c r="J294" i="1" s="1"/>
  <c r="C295" i="1" a="1"/>
  <c r="C295" i="1" s="1"/>
  <c r="J295" i="1" s="1"/>
  <c r="C296" i="1" a="1"/>
  <c r="C296" i="1" s="1"/>
  <c r="J296" i="1" s="1"/>
  <c r="C297" i="1" a="1"/>
  <c r="C297" i="1" s="1"/>
  <c r="J297" i="1" s="1"/>
  <c r="C298" i="1" a="1"/>
  <c r="C298" i="1" s="1"/>
  <c r="J298" i="1" s="1"/>
  <c r="C299" i="1" a="1"/>
  <c r="C299" i="1" s="1"/>
  <c r="J299" i="1" s="1"/>
  <c r="C300" i="1" a="1"/>
  <c r="C300" i="1" s="1"/>
  <c r="J300" i="1" s="1"/>
  <c r="C301" i="1" a="1"/>
  <c r="C301" i="1" s="1"/>
  <c r="J301" i="1" s="1"/>
  <c r="C302" i="1" a="1"/>
  <c r="C302" i="1" s="1"/>
  <c r="J302" i="1" s="1"/>
  <c r="C303" i="1" a="1"/>
  <c r="C303" i="1" s="1"/>
  <c r="J303" i="1" s="1"/>
  <c r="C304" i="1" a="1"/>
  <c r="C304" i="1" s="1"/>
  <c r="J304" i="1" s="1"/>
  <c r="C305" i="1" a="1"/>
  <c r="C305" i="1" s="1"/>
  <c r="J305" i="1" s="1"/>
  <c r="C306" i="1" a="1"/>
  <c r="C306" i="1" s="1"/>
  <c r="J306" i="1" s="1"/>
  <c r="C307" i="1" a="1"/>
  <c r="C307" i="1" s="1"/>
  <c r="J307" i="1" s="1"/>
  <c r="C308" i="1" a="1"/>
  <c r="C308" i="1" s="1"/>
  <c r="J308" i="1" s="1"/>
  <c r="C309" i="1" a="1"/>
  <c r="C309" i="1" s="1"/>
  <c r="J309" i="1" s="1"/>
  <c r="C310" i="1" a="1"/>
  <c r="C310" i="1" s="1"/>
  <c r="J310" i="1" s="1"/>
  <c r="C311" i="1" a="1"/>
  <c r="C311" i="1" s="1"/>
  <c r="J311" i="1" s="1"/>
  <c r="C312" i="1" a="1"/>
  <c r="C312" i="1" s="1"/>
  <c r="J312" i="1" s="1"/>
  <c r="C313" i="1" a="1"/>
  <c r="C313" i="1" s="1"/>
  <c r="J313" i="1" s="1"/>
  <c r="C314" i="1" a="1"/>
  <c r="C314" i="1" s="1"/>
  <c r="J314" i="1" s="1"/>
  <c r="C315" i="1" a="1"/>
  <c r="C315" i="1" s="1"/>
  <c r="J315" i="1" s="1"/>
  <c r="C316" i="1" a="1"/>
  <c r="C316" i="1" s="1"/>
  <c r="J316" i="1" s="1"/>
  <c r="C317" i="1" a="1"/>
  <c r="C317" i="1" s="1"/>
  <c r="J317" i="1" s="1"/>
  <c r="C318" i="1" a="1"/>
  <c r="C318" i="1" s="1"/>
  <c r="J318" i="1" s="1"/>
  <c r="C319" i="1" a="1"/>
  <c r="C319" i="1" s="1"/>
  <c r="J319" i="1" s="1"/>
  <c r="C320" i="1" a="1"/>
  <c r="C320" i="1" s="1"/>
  <c r="J320" i="1" s="1"/>
  <c r="C321" i="1" a="1"/>
  <c r="C321" i="1" s="1"/>
  <c r="J321" i="1" s="1"/>
  <c r="C322" i="1" a="1"/>
  <c r="C322" i="1" s="1"/>
  <c r="J322" i="1" s="1"/>
  <c r="C323" i="1" a="1"/>
  <c r="C323" i="1" s="1"/>
  <c r="J323" i="1" s="1"/>
  <c r="C324" i="1" a="1"/>
  <c r="C324" i="1" s="1"/>
  <c r="J324" i="1" s="1"/>
  <c r="C325" i="1" a="1"/>
  <c r="C325" i="1" s="1"/>
  <c r="J325" i="1" s="1"/>
  <c r="C326" i="1" a="1"/>
  <c r="C326" i="1" s="1"/>
  <c r="J326" i="1" s="1"/>
  <c r="C327" i="1" a="1"/>
  <c r="C327" i="1" s="1"/>
  <c r="J327" i="1" s="1"/>
  <c r="C328" i="1" a="1"/>
  <c r="C328" i="1" s="1"/>
  <c r="J328" i="1" s="1"/>
  <c r="C329" i="1" a="1"/>
  <c r="C329" i="1" s="1"/>
  <c r="J329" i="1" s="1"/>
  <c r="C330" i="1" a="1"/>
  <c r="C330" i="1" s="1"/>
  <c r="J330" i="1" s="1"/>
  <c r="C331" i="1" a="1"/>
  <c r="C331" i="1" s="1"/>
  <c r="J331" i="1" s="1"/>
  <c r="C332" i="1" a="1"/>
  <c r="C332" i="1" s="1"/>
  <c r="J332" i="1" s="1"/>
  <c r="C333" i="1" a="1"/>
  <c r="C333" i="1" s="1"/>
  <c r="J333" i="1" s="1"/>
  <c r="C334" i="1" a="1"/>
  <c r="C334" i="1" s="1"/>
  <c r="J334" i="1" s="1"/>
  <c r="C335" i="1" a="1"/>
  <c r="C335" i="1" s="1"/>
  <c r="J335" i="1" s="1"/>
  <c r="C336" i="1" a="1"/>
  <c r="C336" i="1" s="1"/>
  <c r="J336" i="1" s="1"/>
  <c r="C337" i="1" a="1"/>
  <c r="C337" i="1" s="1"/>
  <c r="J337" i="1" s="1"/>
  <c r="C338" i="1" a="1"/>
  <c r="C338" i="1" s="1"/>
  <c r="J338" i="1" s="1"/>
  <c r="C339" i="1" a="1"/>
  <c r="C339" i="1" s="1"/>
  <c r="J339" i="1" s="1"/>
  <c r="C340" i="1" a="1"/>
  <c r="C340" i="1" s="1"/>
  <c r="J340" i="1" s="1"/>
  <c r="C342" i="1" a="1"/>
  <c r="C342" i="1" s="1"/>
  <c r="J342" i="1" s="1"/>
  <c r="C343" i="1" a="1"/>
  <c r="C343" i="1" s="1"/>
  <c r="J343" i="1" s="1"/>
  <c r="C344" i="1" a="1"/>
  <c r="C344" i="1" s="1"/>
  <c r="J344" i="1" s="1"/>
  <c r="C345" i="1" a="1"/>
  <c r="C345" i="1" s="1"/>
  <c r="J345" i="1" s="1"/>
  <c r="C346" i="1" a="1"/>
  <c r="C346" i="1" s="1"/>
  <c r="J346" i="1" s="1"/>
  <c r="C347" i="1" a="1"/>
  <c r="C347" i="1" s="1"/>
  <c r="J347" i="1" s="1"/>
  <c r="C348" i="1" a="1"/>
  <c r="C348" i="1" s="1"/>
  <c r="J348" i="1" s="1"/>
  <c r="C349" i="1" a="1"/>
  <c r="C349" i="1" s="1"/>
  <c r="J349" i="1" s="1"/>
  <c r="C350" i="1" a="1"/>
  <c r="C350" i="1" s="1"/>
  <c r="J350" i="1" s="1"/>
  <c r="C352" i="1" a="1"/>
  <c r="C352" i="1" s="1"/>
  <c r="J352" i="1" s="1"/>
  <c r="C353" i="1" a="1"/>
  <c r="C353" i="1" s="1"/>
  <c r="J353" i="1" s="1"/>
  <c r="C354" i="1" a="1"/>
  <c r="C354" i="1" s="1"/>
  <c r="J354" i="1" s="1"/>
  <c r="C355" i="1" a="1"/>
  <c r="C355" i="1" s="1"/>
  <c r="J355" i="1" s="1"/>
  <c r="C356" i="1" a="1"/>
  <c r="C356" i="1" s="1"/>
  <c r="J356" i="1" s="1"/>
  <c r="C357" i="1" a="1"/>
  <c r="C357" i="1" s="1"/>
  <c r="J357" i="1" s="1"/>
  <c r="C358" i="1" a="1"/>
  <c r="C358" i="1" s="1"/>
  <c r="J358" i="1" s="1"/>
  <c r="C359" i="1" a="1"/>
  <c r="C359" i="1" s="1"/>
  <c r="J359" i="1" s="1"/>
  <c r="C360" i="1" a="1"/>
  <c r="C360" i="1" s="1"/>
  <c r="J360" i="1" s="1"/>
  <c r="C361" i="1" a="1"/>
  <c r="C361" i="1" s="1"/>
  <c r="J361" i="1" s="1"/>
  <c r="C362" i="1" a="1"/>
  <c r="C362" i="1" s="1"/>
  <c r="J362" i="1" s="1"/>
  <c r="C363" i="1" a="1"/>
  <c r="C363" i="1" s="1"/>
  <c r="J363" i="1" s="1"/>
  <c r="C364" i="1" a="1"/>
  <c r="C364" i="1" s="1"/>
  <c r="J364" i="1" s="1"/>
  <c r="C365" i="1" a="1"/>
  <c r="C365" i="1" s="1"/>
  <c r="J365" i="1" s="1"/>
  <c r="C366" i="1" a="1"/>
  <c r="C366" i="1" s="1"/>
  <c r="J366" i="1" s="1"/>
  <c r="C367" i="1" a="1"/>
  <c r="C367" i="1" s="1"/>
  <c r="J367" i="1" s="1"/>
  <c r="C368" i="1" a="1"/>
  <c r="C368" i="1" s="1"/>
  <c r="J368" i="1" s="1"/>
  <c r="C369" i="1" a="1"/>
  <c r="C369" i="1" s="1"/>
  <c r="J369" i="1" s="1"/>
  <c r="C370" i="1" a="1"/>
  <c r="C370" i="1" s="1"/>
  <c r="J370" i="1" s="1"/>
  <c r="C371" i="1" a="1"/>
  <c r="C371" i="1" s="1"/>
  <c r="J371" i="1" s="1"/>
  <c r="C372" i="1" a="1"/>
  <c r="C372" i="1" s="1"/>
  <c r="J372" i="1" s="1"/>
  <c r="C373" i="1" a="1"/>
  <c r="C373" i="1" s="1"/>
  <c r="J373" i="1" s="1"/>
  <c r="C374" i="1" a="1"/>
  <c r="C374" i="1" s="1"/>
  <c r="J374" i="1" s="1"/>
  <c r="C375" i="1" a="1"/>
  <c r="C375" i="1" s="1"/>
  <c r="J375" i="1" s="1"/>
  <c r="C376" i="1" a="1"/>
  <c r="C376" i="1" s="1"/>
  <c r="J376" i="1" s="1"/>
  <c r="C377" i="1" a="1"/>
  <c r="C377" i="1" s="1"/>
  <c r="J377" i="1" s="1"/>
  <c r="C378" i="1" a="1"/>
  <c r="C378" i="1" s="1"/>
  <c r="J378" i="1" s="1"/>
  <c r="C379" i="1" a="1"/>
  <c r="C379" i="1" s="1"/>
  <c r="J379" i="1" s="1"/>
  <c r="C380" i="1" a="1"/>
  <c r="C380" i="1" s="1"/>
  <c r="J380" i="1" s="1"/>
  <c r="C381" i="1" a="1"/>
  <c r="C381" i="1" s="1"/>
  <c r="J381" i="1" s="1"/>
  <c r="C382" i="1" a="1"/>
  <c r="C382" i="1" s="1"/>
  <c r="J382" i="1" s="1"/>
  <c r="C383" i="1" a="1"/>
  <c r="C383" i="1" s="1"/>
  <c r="J383" i="1" s="1"/>
  <c r="C384" i="1" a="1"/>
  <c r="C384" i="1" s="1"/>
  <c r="J384" i="1" s="1"/>
  <c r="C385" i="1" a="1"/>
  <c r="C385" i="1" s="1"/>
  <c r="J385" i="1" s="1"/>
  <c r="C386" i="1" a="1"/>
  <c r="C386" i="1" s="1"/>
  <c r="J386" i="1" s="1"/>
  <c r="C387" i="1" a="1"/>
  <c r="C387" i="1" s="1"/>
  <c r="J387" i="1" s="1"/>
  <c r="C388" i="1" a="1"/>
  <c r="C388" i="1" s="1"/>
  <c r="J388" i="1" s="1"/>
  <c r="C389" i="1" a="1"/>
  <c r="C389" i="1" s="1"/>
  <c r="J389" i="1" s="1"/>
  <c r="C390" i="1" a="1"/>
  <c r="C390" i="1" s="1"/>
  <c r="J390" i="1" s="1"/>
  <c r="C391" i="1" a="1"/>
  <c r="C391" i="1" s="1"/>
  <c r="J391" i="1" s="1"/>
  <c r="C392" i="1" a="1"/>
  <c r="C392" i="1" s="1"/>
  <c r="J392" i="1" s="1"/>
  <c r="C2" i="1" a="1"/>
  <c r="C2" i="1" s="1"/>
  <c r="J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tc={50EE3AB4-B0A8-BA47-9E21-25C5EDA1C008}</author>
    <author>Booker, Cara L</author>
  </authors>
  <commentList>
    <comment ref="L1" authorId="0" shapeId="0" xr:uid="{50EE3AB4-B0A8-BA47-9E21-25C5EDA1C008}">
      <text>
        <t>[Threaded comment]
Your version of Excel allows you to read this threaded comment; however, any edits to it will get removed if the file is opened in a newer version of Excel. Learn more: https://go.microsoft.com/fwlink/?linkid=870924
Comment:
    'Initial Populations' means that the variable is in the initial populations, but it is not further used in the Java code.</t>
      </text>
    </comment>
    <comment ref="U71" authorId="1" shapeId="0" xr:uid="{00000000-0006-0000-0000-000002000000}">
      <text>
        <r>
          <rPr>
            <b/>
            <sz val="9"/>
            <color indexed="81"/>
            <rFont val="Tahoma"/>
            <family val="2"/>
          </rPr>
          <t>Booker, Cara L:</t>
        </r>
        <r>
          <rPr>
            <sz val="9"/>
            <color indexed="81"/>
            <rFont val="Tahoma"/>
            <family val="2"/>
          </rPr>
          <t xml:space="preserve">
*Length of cohabitation;
array chb [*] currpart1-currpart7;
array chbms [*] lmcbm1-lmcbm7;
array chbys [*] lmcby41-lmcby47;
do i=1 to dim(chb);
 if chb(i) = 1 then do;
  if chbms(i) = . and chbys(i) ne . then do;
   if mod(pid,2)=1 then chbms(i) = 3;
   else chbms(i) = 10; 
  end;
 D_CChb = mdy(chbms(i),15,chbys(i));
 end;
drop i;
end;
if LCMARM = . and LCMARY4 ne . then do;
 if mod(pid,2)=1 then LCMARM = 5;
 else LCMARM = 6; 
end;
if LCMCBM = . and LCMCBY4 ne . then do;
 if mod(pid,2)=1 then LCMCBM = 3;
 else LCMCBM = 10; 
end;
D_Cohab = mdy(lcmcbm,15,lcmcby4);
D_Mrrg = mdy(lcmarm,15,lcmary4);
Cohab_Dur = intck('year',D_Cohab,Int_Date,'C');
if Cohab_Dur = . and D_Mrrg ne . then do;
 Cohab_Dur = intck('year',D_Mrrg,Int_Date,'C');
end;
if Cohab_Dur = . and D_CChb ne . then do;
 Cohab_Dur = intck('year',D_CChb,Int_Date,'C');
end;</t>
        </r>
      </text>
    </comment>
    <comment ref="U152" authorId="1" shapeId="0" xr:uid="{00000000-0006-0000-0000-000001000000}">
      <text>
        <r>
          <rPr>
            <b/>
            <sz val="9"/>
            <color rgb="FF000000"/>
            <rFont val="Tahoma"/>
            <family val="2"/>
          </rPr>
          <t>Booker, Cara L:</t>
        </r>
        <r>
          <rPr>
            <sz val="9"/>
            <color rgb="FF000000"/>
            <rFont val="Tahoma"/>
            <family val="2"/>
          </rPr>
          <t xml:space="preserve">
</t>
        </r>
        <r>
          <rPr>
            <sz val="9"/>
            <color rgb="FF000000"/>
            <rFont val="Tahoma"/>
            <family val="2"/>
          </rPr>
          <t xml:space="preserve">A dependent child is defined as one aged under 16 or aged 16-18 and in school or non-advanced further education, not married and living with parent. It does not include any children who have a spouse, partner or child living in the household. </t>
        </r>
      </text>
    </comment>
    <comment ref="U363" authorId="1" shapeId="0" xr:uid="{00000000-0006-0000-0000-000003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 ref="U381" authorId="1" shapeId="0" xr:uid="{00000000-0006-0000-0000-000004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<sst xmlns="http://schemas.openxmlformats.org/spreadsheetml/2006/main" count="3393" uniqueCount="1461">
  <si>
    <t>Description</t>
  </si>
  <si>
    <t>Notes</t>
  </si>
  <si>
    <t>idhh</t>
  </si>
  <si>
    <t>hidp</t>
  </si>
  <si>
    <t>ID of the household from hidp variable.</t>
  </si>
  <si>
    <t>idperson</t>
  </si>
  <si>
    <t>pidp</t>
  </si>
  <si>
    <t>Cross-wave ID of the person from pidp variable.</t>
  </si>
  <si>
    <t>idpartner</t>
  </si>
  <si>
    <t>ID of partner from sspid variable.</t>
  </si>
  <si>
    <t>gor_dv</t>
  </si>
  <si>
    <t>Region identifier from gor_dv variable. As in FRS, code 3 is not used.</t>
  </si>
  <si>
    <t>dgn</t>
  </si>
  <si>
    <t>sex_dv</t>
  </si>
  <si>
    <t>Gender from sex_dv variable.</t>
  </si>
  <si>
    <t>dag</t>
  </si>
  <si>
    <t>scsf1</t>
  </si>
  <si>
    <t>deh_c3</t>
  </si>
  <si>
    <t>hiqual_dv</t>
  </si>
  <si>
    <t>dehm_c3</t>
  </si>
  <si>
    <t>maedqf</t>
  </si>
  <si>
    <t>dehf_c3</t>
  </si>
  <si>
    <t>paedqf</t>
  </si>
  <si>
    <t>Father's education form paedqf in xwavedat file. Same rules as for dehm above.</t>
  </si>
  <si>
    <t>jbstat</t>
  </si>
  <si>
    <t>ppid</t>
  </si>
  <si>
    <t>Health_status from scsf1 variable. Reverse coded, so the higher the better (5 = Excellent, 4 = Very Good, 3 = Good, 2 = Fair, 1 = Poor). Wave 1 uses sf1 as SF-12 was not asked in the self-completion part.</t>
  </si>
  <si>
    <t>Mother's education from maedqf in xwavedat file. If missing and individual lives with parents, their current level of education is used to fill in missing values. Levels set to match deh variable, 1 (High) is "she gained a university degree or higher degree", 2 (Medium) is "she gained post school quals or certs (e.g. city &amp; guilds)" or "she left school with some qualifications or certificates" and 3 (Low) is "she left school with no qualifications or certificates" or "she did not go to school at all" or "other".</t>
  </si>
  <si>
    <t>dehsp_c3</t>
  </si>
  <si>
    <t xml:space="preserve">Spouse's education from hiqual_dv variable. 1 (High) education means degree, 2 (Medium) education means Other higher degree, A-levels etc., GCSE etc., 3 (Low) means Other qualification, no qualification. </t>
  </si>
  <si>
    <t xml:space="preserve">Education from hiqual_dv variable. 1 (High) education means degree, 2 (Medium) education means Other higher degree, A-levels etc., GCSE etc., 3 (Low) means Other qualification, no qualification. </t>
  </si>
  <si>
    <t>dnc02</t>
  </si>
  <si>
    <t>ded</t>
  </si>
  <si>
    <t>mastat_dv</t>
  </si>
  <si>
    <t>Generated from dep variable for each year in the same partnership this variable increases by one.</t>
  </si>
  <si>
    <t>dcpagdf</t>
  </si>
  <si>
    <t>In education after having taken a break from jbstat variable, where jbstat = 7  and previous wave's jbstat ne 7 then returned to education. If missing then used previous or next wave's labour force status and dates left education to fill in.</t>
  </si>
  <si>
    <t>swv</t>
  </si>
  <si>
    <t>Generated from jbstat variable. If current jbstat ne 7 and previous wave's jbstat = 7. Rules from ded apply.</t>
  </si>
  <si>
    <t>ssscp</t>
  </si>
  <si>
    <t>Generated from mastat_dv and sex_dv, 1 if in a partnership (2,3,10) and sex_dv and spouse's sex_dv are the same.</t>
  </si>
  <si>
    <t>stm</t>
  </si>
  <si>
    <t>dhe</t>
  </si>
  <si>
    <t>dcpen</t>
  </si>
  <si>
    <t>dcpyy</t>
  </si>
  <si>
    <t>dcpex</t>
  </si>
  <si>
    <t>der</t>
  </si>
  <si>
    <t>ydses_c5</t>
  </si>
  <si>
    <t>sedex</t>
  </si>
  <si>
    <t>Long-term sick or disabled from jbstat variable, where jbstat = 8 then long-term sick or disabled. If missing then used previous or next wave's labour force status.</t>
  </si>
  <si>
    <t>sprfm</t>
  </si>
  <si>
    <t>dcpst</t>
  </si>
  <si>
    <t>age_dv</t>
  </si>
  <si>
    <t>dnc</t>
  </si>
  <si>
    <t>age_dv; pns1pid; pns2pid; depchl_dv</t>
  </si>
  <si>
    <t xml:space="preserve">Partnership status from mastat_dv variable. 1 (Partnered) are those in marriages or cohabiting relationships, 2 (Single) are those who have never been married, 3 (Previously partnered) Individuals who have been in a formal relationship, i.e. married or civil partnership. </t>
  </si>
  <si>
    <t>dlltsd</t>
  </si>
  <si>
    <t>dhhtp</t>
  </si>
  <si>
    <t>yptciihs_dv</t>
  </si>
  <si>
    <t>yplgrs_dv</t>
  </si>
  <si>
    <t xml:space="preserve">Gross personal employment income is labour income only. Adjusted for and inflation. Normalised using inverse hyperbolic sine. </t>
  </si>
  <si>
    <t>dhesp</t>
  </si>
  <si>
    <t>Spouse's health_status from scsf1 variable. See dhe for rules.</t>
  </si>
  <si>
    <t>ynbcpdf_dv</t>
  </si>
  <si>
    <t>ypnbihs_dv</t>
  </si>
  <si>
    <t>Generated from age_dv variable, subtracting spouse's age from own.</t>
  </si>
  <si>
    <t>Age from age_dv variable. If missing took previous wave's age + 1.</t>
  </si>
  <si>
    <t>Age sqared from age_dv variable.</t>
  </si>
  <si>
    <t>lesdf_c4</t>
  </si>
  <si>
    <t xml:space="preserve">Household composition derived from partnership status and number of children in household variables. </t>
  </si>
  <si>
    <t xml:space="preserve">Own and spouse's employment status derived from partnership and activity status variables. </t>
  </si>
  <si>
    <t>idfather</t>
  </si>
  <si>
    <t>idmother</t>
  </si>
  <si>
    <t>fnspid</t>
  </si>
  <si>
    <t>mnspid</t>
  </si>
  <si>
    <t>ID of father from fnspid variable.</t>
  </si>
  <si>
    <t>ID of mother from mnspid variable.</t>
  </si>
  <si>
    <t>dct</t>
  </si>
  <si>
    <t>Set to 15 for the UK for observations from UKHLS.</t>
  </si>
  <si>
    <t>Difference between own and spouse's gross non-benefit income using ypnbihs_dv and ypnbihs_dv_sp.</t>
  </si>
  <si>
    <t>Generated from age_dv and sex_dv, 1 if a women between the ages of 18 and 44.</t>
  </si>
  <si>
    <t>In education from jbstat variable, where jbstat = 7 then in education. If missing then used previous or next wave's labour force status and dates left education to fill in. If have returned to education following a break then ded = 0.</t>
  </si>
  <si>
    <t>dlrtrd</t>
  </si>
  <si>
    <t>Retired from jbstat variable, where jbstat = 4 then retired. If missing then used previous or next wave's labour force status.</t>
  </si>
  <si>
    <t>drtren</t>
  </si>
  <si>
    <t>Generated from jbstat variable, 1 means that individual has entered retirement (4), when their previous wave's jbstat was not equal to 4 (either student, not in work or employed).</t>
  </si>
  <si>
    <t>dlftphm</t>
  </si>
  <si>
    <t>fnspid; mnspid</t>
  </si>
  <si>
    <t>Generated from fnspid and/or mnspid. 1 means that individual no longer lives with a parent (fnspid &amp; mnspid is equal to missing) when in the previous wave they lived with a parent  (fnspid or mnspid not equal to missing).</t>
  </si>
  <si>
    <t>dhhwt</t>
  </si>
  <si>
    <t>dimxwt</t>
  </si>
  <si>
    <t>dimlwt</t>
  </si>
  <si>
    <t>disclwt</t>
  </si>
  <si>
    <t>Longitudinal individual self-completion weight from indscus_lw (waves 2 onward) variable.</t>
  </si>
  <si>
    <t>Longitudinal individual main survey weight from indinus_lw (waves 2 onward) variable.</t>
  </si>
  <si>
    <t>Cross-sectional individual main survey weight from indinus_xw (waves 1 and 2) and indinub_xw (wave 3 onward) variables.</t>
  </si>
  <si>
    <t>Cross-sectional household weight from hhdenus_xw (waves 1 and 2) and hhdenub_xw (wave 3 onward) variables.</t>
  </si>
  <si>
    <t>Number of children aged 0-2 and have a parent indicator from indall and newborn datasets. Children aged 1-2 from indall and children aged 0 from newborn dataset</t>
  </si>
  <si>
    <t>Number of children who are dependents aged 0-18 and have a parent indicator from indall and newborn datasets. Children aged 1-18 from indall and children aged 0 from newborn dataset. See comment for definition of dependent child</t>
  </si>
  <si>
    <t xml:space="preserve">Generated from mastat_dv variable, 1 means that individual has exited a partnership (mastat_dv = 1,4,5,7,8), when they were in a relationship in the previous wave (mastat_dv=2/3/10). Excluded those who exited a partnership due to widowhood. In cases where mastat_dv was the same but ppid at t-1 was not equal to ppid at t then set to 1. </t>
  </si>
  <si>
    <t xml:space="preserve">Generated from mastat_dv variable, 1 means that individual has entered a partnership (2/3/10=married/civil partnership/cohabiting), when their previous wave's mastat_dv was 1=single or 4-9=previously partnered.  In cases where mastat_dv was the same but ppid at t-1 was not equal to ppid at t then set to 1. </t>
  </si>
  <si>
    <t>sedcsmpl</t>
  </si>
  <si>
    <t>sedrsmpl</t>
  </si>
  <si>
    <t>Generated from age_dv and drtren variables.</t>
  </si>
  <si>
    <t>scedsmpl</t>
  </si>
  <si>
    <t>Generated from age_dv and ded variables. 1 includes first instance of not being in education.</t>
  </si>
  <si>
    <t>Generated from sedcsmpl and ded variables.</t>
  </si>
  <si>
    <t>sedcsmpl; ded</t>
  </si>
  <si>
    <t xml:space="preserve">Household income quintiles is made up of labour, pension, miscellaneous (see comment for definition), Savings and Investment Income, Trade Union / Friendly Society Payment and maintenace or alimony . Gross household income combination of spouse and dependent children's income if partnered or personal and dependent children's income if single. Adjusted for household composition using OECD-modified scale and inflation. Normalised using inverse hyperbolic sine. </t>
  </si>
  <si>
    <t xml:space="preserve">Gross personal non-benefit income made up of labour, pension, miscellaneous (see comment for definition), Savings and Investment Income, Trade Union / Friendly Society Payment and maintenace or alimony. Adjusted for inflation. Normalised using inverse hyperbolic sine. </t>
  </si>
  <si>
    <t>fimnpen_dv; fimnmisc_dv; fiyrinvinc_dv; ficode =1,25, 26, 28 and 29</t>
  </si>
  <si>
    <t>fimnlabgrs_dv; fimnpen_dv; fimnmisc_dv; fiyrinvinc_dv; ficode =1,25, 26,28 and 29</t>
  </si>
  <si>
    <t xml:space="preserve">Gross personal non-employment, non-benefit income combination of pension, miscellaneous (see comment for definition), Savings and Investment Income, Trade Union / Friendly Society Payment and maintenace or alimony. Adjusted for inflation. Normalised using inverse hyperbolic sine. </t>
  </si>
  <si>
    <t>les_c4</t>
  </si>
  <si>
    <t>lessp_c4</t>
  </si>
  <si>
    <t>Activity status from jbstat variable. 1 is employed/self-employed, 2 is full-time student, 3 is not employed, 4 is retired</t>
  </si>
  <si>
    <t>Spouse's activity status from jbstat variable. 1 is employed/self-employed, 2 is full-time student, 3 is not employed, 4 is retired</t>
  </si>
  <si>
    <t>econ_benefits</t>
  </si>
  <si>
    <t>fihhmnsben_dv</t>
  </si>
  <si>
    <t>drgn1</t>
  </si>
  <si>
    <t>dhm</t>
  </si>
  <si>
    <t>dhm_ghq</t>
  </si>
  <si>
    <t>scghq1_dv</t>
  </si>
  <si>
    <t>scghq2_dv</t>
  </si>
  <si>
    <t>This measure converts valid answers to 12 questions of the General Health Questionnaire (GHQ) to a single scale by recoding so that the scale for individual variables runs from 0 to 3 instead of 1 to 4, and then summing, giving a scale running from 0 (the least distressed) to 36 (the most distressed). Values for children (missing in the UKHLS) are imputed using a regression model.</t>
  </si>
  <si>
    <t>dhh_owned</t>
  </si>
  <si>
    <t>Home ownership dummy
0 = renter 
1 = owner (`w'_hsownd == 1 | `w'_hsownd == 2 | `w'_hsownd == 3)</t>
  </si>
  <si>
    <t>hsownd</t>
  </si>
  <si>
    <t>This definition refers to the definition used by prediction models. In the simulation, benefit recipiency is based on the donor benefit unit matched with the simulated benefit unit. If it receives monetary or non-monetary benefits, "receivesBenefitsFlag" is set to 1.</t>
  </si>
  <si>
    <t>Dhh_owned is the definition used in the initial population and in the model predicting house ownership in the homeownership process of the simulation.</t>
  </si>
  <si>
    <t>idbenefitunit</t>
  </si>
  <si>
    <t>pno</t>
  </si>
  <si>
    <t>les_c3</t>
  </si>
  <si>
    <t>dlltsd01</t>
  </si>
  <si>
    <t>dhhtp_c4</t>
  </si>
  <si>
    <t>sedag</t>
  </si>
  <si>
    <t>dagsp</t>
  </si>
  <si>
    <t>lessp_c3</t>
  </si>
  <si>
    <t>ppno</t>
  </si>
  <si>
    <t>lhw</t>
  </si>
  <si>
    <t>l1_lhw</t>
  </si>
  <si>
    <t>dwt_sampling</t>
  </si>
  <si>
    <t>adultchildflag</t>
  </si>
  <si>
    <t>multiplier</t>
  </si>
  <si>
    <t>dwt</t>
  </si>
  <si>
    <t>potential_earnings_hourly</t>
  </si>
  <si>
    <t>l1_potential_earnings_hourly</t>
  </si>
  <si>
    <t>need_socare</t>
  </si>
  <si>
    <t>formal_socare_hrs</t>
  </si>
  <si>
    <t>partner_socare_hrs</t>
  </si>
  <si>
    <t>daughter_socare_hrs</t>
  </si>
  <si>
    <t>son_socare_hrs</t>
  </si>
  <si>
    <t>other_socare_hrs</t>
  </si>
  <si>
    <t>formal_socare_cost</t>
  </si>
  <si>
    <t>carehoursprovidedweekly</t>
  </si>
  <si>
    <t>econ_benefits_nonuc</t>
  </si>
  <si>
    <t>econ_benefits_uc</t>
  </si>
  <si>
    <t>ypncp</t>
  </si>
  <si>
    <t>ypnoab</t>
  </si>
  <si>
    <t>aidhrs</t>
  </si>
  <si>
    <t>carewho</t>
  </si>
  <si>
    <t>dhe_mcs</t>
  </si>
  <si>
    <t>dhe_pcs</t>
  </si>
  <si>
    <t>dhe_mcssp</t>
  </si>
  <si>
    <t>dhe_pcssp</t>
  </si>
  <si>
    <t>dls</t>
  </si>
  <si>
    <t>dot</t>
  </si>
  <si>
    <t>dot01</t>
  </si>
  <si>
    <t>unemp</t>
  </si>
  <si>
    <t>financial_distress</t>
  </si>
  <si>
    <t>Initial Populations</t>
  </si>
  <si>
    <t>run</t>
  </si>
  <si>
    <t>time</t>
  </si>
  <si>
    <t>id_BenefitUnit</t>
  </si>
  <si>
    <t>atRiskOfPoverty</t>
  </si>
  <si>
    <t>benefitsReceivedPerMonth</t>
  </si>
  <si>
    <t>childcareCostPerWeek</t>
  </si>
  <si>
    <t>createdByConstructor</t>
  </si>
  <si>
    <t>dhhOwned</t>
  </si>
  <si>
    <t>disposableIncomeMonthly</t>
  </si>
  <si>
    <t>equivalisedDisposableIncomeYearly</t>
  </si>
  <si>
    <t>grossIncomeMonthly</t>
  </si>
  <si>
    <t>idHousehold</t>
  </si>
  <si>
    <t>idOriginalBU</t>
  </si>
  <si>
    <t>idOriginalHH</t>
  </si>
  <si>
    <t>investmentIncomeAnnual</t>
  </si>
  <si>
    <t>liquidWealth</t>
  </si>
  <si>
    <t>pensionIncomeAnnual</t>
  </si>
  <si>
    <t>region</t>
  </si>
  <si>
    <t>seed</t>
  </si>
  <si>
    <t>socialCareCostPerWeek</t>
  </si>
  <si>
    <t>socialCareProvision</t>
  </si>
  <si>
    <t>taxDbDonorId</t>
  </si>
  <si>
    <t>id_EmploymentStatistics1</t>
  </si>
  <si>
    <t>EmpToNotEmp</t>
  </si>
  <si>
    <t>NotEmpToEmp</t>
  </si>
  <si>
    <t>PropEmployed</t>
  </si>
  <si>
    <t>PropUnemployed</t>
  </si>
  <si>
    <t>id_HealthStatistics1</t>
  </si>
  <si>
    <t>N</t>
  </si>
  <si>
    <t>dhe_mcs_mean</t>
  </si>
  <si>
    <t>dhe_mcs_median</t>
  </si>
  <si>
    <t>dhe_mcs_p_10</t>
  </si>
  <si>
    <t>dhe_mcs_p_25</t>
  </si>
  <si>
    <t>dhe_mcs_p_75</t>
  </si>
  <si>
    <t>dhe_mcs_p_90</t>
  </si>
  <si>
    <t>dhe_pcs_mean</t>
  </si>
  <si>
    <t>dhe_pcs_median</t>
  </si>
  <si>
    <t>dhe_pcs_p_10</t>
  </si>
  <si>
    <t>dhe_pcs_p_25</t>
  </si>
  <si>
    <t>dhe_pcs_p_75</t>
  </si>
  <si>
    <t>dhe_pcs_p_90</t>
  </si>
  <si>
    <t>dhm_mean</t>
  </si>
  <si>
    <t>dhm_median</t>
  </si>
  <si>
    <t>dhm_p_10</t>
  </si>
  <si>
    <t>dhm_p_25</t>
  </si>
  <si>
    <t>dhm_p_75</t>
  </si>
  <si>
    <t>dhm_p_90</t>
  </si>
  <si>
    <t>dls_mean</t>
  </si>
  <si>
    <t>dls_median</t>
  </si>
  <si>
    <t>dls_p_10</t>
  </si>
  <si>
    <t>dls_p_25</t>
  </si>
  <si>
    <t>dls_p_75</t>
  </si>
  <si>
    <t>dls_p_90</t>
  </si>
  <si>
    <t>gender</t>
  </si>
  <si>
    <t>qalys</t>
  </si>
  <si>
    <t>wellbys</t>
  </si>
  <si>
    <t>id_Household</t>
  </si>
  <si>
    <t>id_Person</t>
  </si>
  <si>
    <t>L1_fullTimeHourlyEarningsPotential</t>
  </si>
  <si>
    <t>careFormalExpenditureWeekly</t>
  </si>
  <si>
    <t>careHoursFromDaughterWeekly</t>
  </si>
  <si>
    <t>careHoursFromFormalWeekly</t>
  </si>
  <si>
    <t>careHoursFromOtherWeekly</t>
  </si>
  <si>
    <t>careHoursFromParentWeekly</t>
  </si>
  <si>
    <t>careHoursFromPartnerWeekly</t>
  </si>
  <si>
    <t>careHoursFromSonWeekly</t>
  </si>
  <si>
    <t>careHoursProvidedWeekly</t>
  </si>
  <si>
    <t>clonedFlag</t>
  </si>
  <si>
    <t>covidModuleGrossLabourIncomeBaseline_Xt5</t>
  </si>
  <si>
    <t>dhmGhq</t>
  </si>
  <si>
    <t>financialDistress</t>
  </si>
  <si>
    <t>fullTimeHourlyEarningsPotential</t>
  </si>
  <si>
    <t>he_eq5d</t>
  </si>
  <si>
    <t>idBenefitUnit</t>
  </si>
  <si>
    <t>idFather</t>
  </si>
  <si>
    <t>idMother</t>
  </si>
  <si>
    <t>idOriginalPerson</t>
  </si>
  <si>
    <t>labourSupplyWeekly</t>
  </si>
  <si>
    <t>les_c7_covid</t>
  </si>
  <si>
    <t>lowWageOffer</t>
  </si>
  <si>
    <t>needSocialCare</t>
  </si>
  <si>
    <t>receivesBenefitsFlagNonUC</t>
  </si>
  <si>
    <t>receivesBenefitsFlagUC</t>
  </si>
  <si>
    <t>sampleEntry</t>
  </si>
  <si>
    <t>sampleExit</t>
  </si>
  <si>
    <t>weight</t>
  </si>
  <si>
    <t>yearlyEquivalisedConsumption</t>
  </si>
  <si>
    <t>id_Statistics1</t>
  </si>
  <si>
    <t>giniEquivalisedHouseholdDisposableIncomeNational</t>
  </si>
  <si>
    <t>giniMarketIncomeNational</t>
  </si>
  <si>
    <t>grossLabourIncome_p20</t>
  </si>
  <si>
    <t>grossLabourIncome_p40</t>
  </si>
  <si>
    <t>grossLabourIncome_p60</t>
  </si>
  <si>
    <t>grossLabourIncome_p80</t>
  </si>
  <si>
    <t>medianEquivalisedHouseholdDisposableIncome</t>
  </si>
  <si>
    <t>ydses_p20</t>
  </si>
  <si>
    <t>ydses_p40</t>
  </si>
  <si>
    <t>ydses_p60</t>
  </si>
  <si>
    <t>ydses_p80</t>
  </si>
  <si>
    <t>id_Statistics21</t>
  </si>
  <si>
    <t>aaconsToLeisRatio</t>
  </si>
  <si>
    <t>aadisposableIncome18to29</t>
  </si>
  <si>
    <t>aadisposableIncome30to54</t>
  </si>
  <si>
    <t>aadisposableIncome55to74</t>
  </si>
  <si>
    <t>aaexpenditure18to29</t>
  </si>
  <si>
    <t>aaexpenditure18to54</t>
  </si>
  <si>
    <t>aaexpenditure30to54</t>
  </si>
  <si>
    <t>aaexpenditure55to74</t>
  </si>
  <si>
    <t>aaworkNone18to29</t>
  </si>
  <si>
    <t>aaworkNone18to74</t>
  </si>
  <si>
    <t>aaworkNone30to54</t>
  </si>
  <si>
    <t>aaworkNone55to74</t>
  </si>
  <si>
    <t>avkids18to29</t>
  </si>
  <si>
    <t>avkids30to54</t>
  </si>
  <si>
    <t>avkids55to74</t>
  </si>
  <si>
    <t>aworkFulltime18to29</t>
  </si>
  <si>
    <t>aworkFulltime30to54</t>
  </si>
  <si>
    <t>aworkFulltime55to74</t>
  </si>
  <si>
    <t>aworkParttime18to29</t>
  </si>
  <si>
    <t>aworkParttime30to54</t>
  </si>
  <si>
    <t>aworkParttime55to74</t>
  </si>
  <si>
    <t>dispIncomeGrossOfLosses55to74</t>
  </si>
  <si>
    <t>health18to29</t>
  </si>
  <si>
    <t>health30to54</t>
  </si>
  <si>
    <t>health55to74</t>
  </si>
  <si>
    <t>investmentIncome18to29</t>
  </si>
  <si>
    <t>investmentIncome30to54</t>
  </si>
  <si>
    <t>investmentIncome55to74</t>
  </si>
  <si>
    <t>investmentLosses18to29</t>
  </si>
  <si>
    <t>investmentLosses30to54</t>
  </si>
  <si>
    <t>investmentLosses55to74</t>
  </si>
  <si>
    <t>labourIncome18to29</t>
  </si>
  <si>
    <t>labourIncome30to54</t>
  </si>
  <si>
    <t>labourIncome55to74</t>
  </si>
  <si>
    <t>pensionIncome18to29</t>
  </si>
  <si>
    <t>pensionIncome30to54</t>
  </si>
  <si>
    <t>pensionIncome55to74</t>
  </si>
  <si>
    <t>population18to29</t>
  </si>
  <si>
    <t>population30to54</t>
  </si>
  <si>
    <t>population55to74</t>
  </si>
  <si>
    <t>prDisabled18to29</t>
  </si>
  <si>
    <t>prDisabled30to54</t>
  </si>
  <si>
    <t>prDisabled55to74</t>
  </si>
  <si>
    <t>prMarried18to29</t>
  </si>
  <si>
    <t>prMarried30to54</t>
  </si>
  <si>
    <t>prMarried55to74</t>
  </si>
  <si>
    <t>wealth18to29</t>
  </si>
  <si>
    <t>wealth30to54</t>
  </si>
  <si>
    <t>wealth55to74</t>
  </si>
  <si>
    <t>id_Statistics31</t>
  </si>
  <si>
    <t>fertilityAdjustmentFactor</t>
  </si>
  <si>
    <t>fertilityRateSimulated</t>
  </si>
  <si>
    <t>fertilityRateTarget</t>
  </si>
  <si>
    <t>partnershipAdjustmentFactor</t>
  </si>
  <si>
    <t>shareCohabitingSimulated</t>
  </si>
  <si>
    <t>shareCohabitingTarget</t>
  </si>
  <si>
    <t>socialCareAdjustmentFactor</t>
  </si>
  <si>
    <t>utilityAdjustmentFactorCouples</t>
  </si>
  <si>
    <t>utilityAdjustmentFactorSfemales</t>
  </si>
  <si>
    <t>utilityAdjustmentFactorSmales</t>
  </si>
  <si>
    <t>bornInSimulation</t>
  </si>
  <si>
    <t>ioFlag</t>
  </si>
  <si>
    <t>deh_c3_lag1</t>
  </si>
  <si>
    <t>Person.java</t>
  </si>
  <si>
    <t>les_c4_lag1</t>
  </si>
  <si>
    <t>les_c7_covid_lag1</t>
  </si>
  <si>
    <t>liwwh</t>
  </si>
  <si>
    <t>Work history in months (number of months in employment) (Note: this is monthly in EM, but simulation updates annually so increment by 12 months)</t>
  </si>
  <si>
    <t>dlltsd_lag1</t>
  </si>
  <si>
    <t>lowWageOffer_lag1</t>
  </si>
  <si>
    <t>socialCareReceipt</t>
  </si>
  <si>
    <t>socialCareFromDaughter</t>
  </si>
  <si>
    <t>socialCareFromFormal</t>
  </si>
  <si>
    <t>socialCareFromPartner</t>
  </si>
  <si>
    <t>socialCareFromSon</t>
  </si>
  <si>
    <t>socialCareFromOther</t>
  </si>
  <si>
    <t>socialCareProvision_lag1</t>
  </si>
  <si>
    <t>needSocialCare_lag1</t>
  </si>
  <si>
    <t>careHoursFromDaughterWeekly_lag1</t>
  </si>
  <si>
    <t>careHoursFromFormalWeekly_lag1</t>
  </si>
  <si>
    <t>careHoursFromOtherWeekly_lag1</t>
  </si>
  <si>
    <t>careHoursFromParentWeekly_lag1</t>
  </si>
  <si>
    <t>careHoursFromPartnerWeekly_lag1</t>
  </si>
  <si>
    <t>careHoursFromSonWeekly_lag1</t>
  </si>
  <si>
    <t>isHomeOwner_lag1</t>
  </si>
  <si>
    <t>dcpst_lag1</t>
  </si>
  <si>
    <t>dcpst_lag2</t>
  </si>
  <si>
    <t>dehsp_c3_lag1</t>
  </si>
  <si>
    <t>dhesp_lag1</t>
  </si>
  <si>
    <t>lesdf_c4_lag1</t>
  </si>
  <si>
    <t>idPartnerLag1</t>
  </si>
  <si>
    <t>household_status_lag</t>
  </si>
  <si>
    <t>dcpagdf_lag1</t>
  </si>
  <si>
    <t>ynbcpdf_dv_lag1</t>
  </si>
  <si>
    <t>hasTestPartner</t>
  </si>
  <si>
    <t>toGiveBirth</t>
  </si>
  <si>
    <t>toLeaveSchool</t>
  </si>
  <si>
    <t>toBePartnered</t>
  </si>
  <si>
    <t>leavePartner</t>
  </si>
  <si>
    <t>dhmGhq_lag1</t>
  </si>
  <si>
    <t>dhe_lag1</t>
  </si>
  <si>
    <t>dhm_lag1</t>
  </si>
  <si>
    <t>Lag(1) of dhm</t>
  </si>
  <si>
    <t>dhe_mcs_lag1</t>
  </si>
  <si>
    <t>dhe_pcs_lag1</t>
  </si>
  <si>
    <t>dls_temp</t>
  </si>
  <si>
    <t>dls_lag1</t>
  </si>
  <si>
    <t>receivesBenefitsFlag</t>
  </si>
  <si>
    <t>receivesBenefitsFlag_L1</t>
  </si>
  <si>
    <t>receivesBenefitsFlagNonUC_L1</t>
  </si>
  <si>
    <t>receivesBenefitsFlagUC_L1</t>
  </si>
  <si>
    <t>labourSupplyWeekly_L1</t>
  </si>
  <si>
    <t>hoursWorkedWeekly</t>
  </si>
  <si>
    <t>yearlyEquivalisedDisposableIncomeSeries</t>
  </si>
  <si>
    <t>yearlyEquivalisedConsumptionSeries</t>
  </si>
  <si>
    <t>dcpyy_lag1</t>
  </si>
  <si>
    <t>ypnbihs_dv_lag1</t>
  </si>
  <si>
    <t>ypncp_lag1</t>
  </si>
  <si>
    <t>ypncp_lag2</t>
  </si>
  <si>
    <t>Lag(1) of ypncp</t>
  </si>
  <si>
    <t>ypnoab_lag1</t>
  </si>
  <si>
    <t>ypnoab_lag2</t>
  </si>
  <si>
    <t>yptciihs_dv_lag1</t>
  </si>
  <si>
    <t>yptciihs_dv_lag2</t>
  </si>
  <si>
    <t>yptciihs_dv_lag3</t>
  </si>
  <si>
    <t>yplgrs_dv_lag1</t>
  </si>
  <si>
    <t>yplgrs_dv_lag2</t>
  </si>
  <si>
    <t>yplgrs_dv_lag3</t>
  </si>
  <si>
    <t>desiredAgeDiff</t>
  </si>
  <si>
    <t>desiredEarningsPotentialDiff</t>
  </si>
  <si>
    <t>ageGroup</t>
  </si>
  <si>
    <t>Used in partnership alignment process. Indicates that this person has found partner in a test run of union matching.</t>
  </si>
  <si>
    <t>leftEducation</t>
  </si>
  <si>
    <t>leftPartnership</t>
  </si>
  <si>
    <t>newWorkHours_lag1</t>
  </si>
  <si>
    <t>Define a variable to keep previous month's value of work hours to be used in the Covid-19 module</t>
  </si>
  <si>
    <t>covidModuleGrossLabourIncome_Baseline</t>
  </si>
  <si>
    <t>covidModuleReceivesSEISS</t>
  </si>
  <si>
    <t>covidModuleGrossLabourIncome_lag1</t>
  </si>
  <si>
    <t>wageRegressionRandomComponentNE</t>
  </si>
  <si>
    <t>wageRegressionRandomComponentE</t>
  </si>
  <si>
    <t>dhhtp_c4_lag1Local</t>
  </si>
  <si>
    <t>ydses_c5_lag1Local</t>
  </si>
  <si>
    <t>yearLocal</t>
  </si>
  <si>
    <t>regionLocal</t>
  </si>
  <si>
    <t>numberChildrenAllLocal_lag1</t>
  </si>
  <si>
    <t>numberChildrenAllLocal</t>
  </si>
  <si>
    <t>numberChildren02Local_lag1</t>
  </si>
  <si>
    <t>numberChildren017Local</t>
  </si>
  <si>
    <t>indicatorChildren02Local</t>
  </si>
  <si>
    <t>dcpstLocal</t>
  </si>
  <si>
    <t>innovations</t>
  </si>
  <si>
    <t>scoreFemale</t>
  </si>
  <si>
    <t>scoreMale</t>
  </si>
  <si>
    <t>inverseMillsRatioMaxFemale</t>
  </si>
  <si>
    <t>inverseMillsRatioMinFemale</t>
  </si>
  <si>
    <t>inverseMillsRatioMaxMale</t>
  </si>
  <si>
    <t>inverseMillsRatioMinMale</t>
  </si>
  <si>
    <t>states</t>
  </si>
  <si>
    <t>discretionaryConsumptionPerYear</t>
  </si>
  <si>
    <t>pensionWealth</t>
  </si>
  <si>
    <t>housingWealth</t>
  </si>
  <si>
    <t>receivedUC</t>
  </si>
  <si>
    <t>receivedLegacyBenefits</t>
  </si>
  <si>
    <t>equivalisedDisposableIncomeYearly_lag1</t>
  </si>
  <si>
    <t>yearlyChangeInLogEDI</t>
  </si>
  <si>
    <t>atRiskOfPoverty_lag1</t>
  </si>
  <si>
    <t>indicatorChildren412_lag1</t>
  </si>
  <si>
    <t>indicatorChildren03_lag1</t>
  </si>
  <si>
    <t>Lag(1) of d_children_4_12</t>
  </si>
  <si>
    <t>Lag(1) of d_children_3under</t>
  </si>
  <si>
    <t>taxDbMatch</t>
  </si>
  <si>
    <t>ydses_c5_lag1</t>
  </si>
  <si>
    <t>tmpHHYpnbihs_dv_asinh</t>
  </si>
  <si>
    <t>dhhtp_c4_lag1</t>
  </si>
  <si>
    <t>lastLabourInnov</t>
  </si>
  <si>
    <t>labourHoursWeekly1Local</t>
  </si>
  <si>
    <t>labourHoursWeekly2Local</t>
  </si>
  <si>
    <t>occupancyLocal</t>
  </si>
  <si>
    <t>deh_c3Local</t>
  </si>
  <si>
    <t>BenefitUnit.java</t>
  </si>
  <si>
    <t>camelCase</t>
  </si>
  <si>
    <t>snake_case</t>
  </si>
  <si>
    <t>PascalCase</t>
  </si>
  <si>
    <t>SimPaths current name</t>
  </si>
  <si>
    <t>UKHLS</t>
  </si>
  <si>
    <t>ID</t>
  </si>
  <si>
    <t>Household</t>
  </si>
  <si>
    <t>Father</t>
  </si>
  <si>
    <t>Mother</t>
  </si>
  <si>
    <t>Country</t>
  </si>
  <si>
    <t>Individual Cross-sectional Weight - Main survey</t>
  </si>
  <si>
    <t>Individual Longitudinal Weight - Main survey</t>
  </si>
  <si>
    <t>Individual Longitudinal Weight - Self-Completion</t>
  </si>
  <si>
    <t>Household Cross-sectional Weight</t>
  </si>
  <si>
    <t>Number of children aged 0-2</t>
  </si>
  <si>
    <t>Number of dependent children aged 0-18</t>
  </si>
  <si>
    <t>Age</t>
  </si>
  <si>
    <t>Age Squared</t>
  </si>
  <si>
    <t>Health status
 1 Poor
 2 Fair
 3 Good
 4 Very good
 5 Excellent</t>
  </si>
  <si>
    <t>Spouse's Health status
 1 Poor
 2 Fair
 3 Good
 4 Very good
 5 Excellent</t>
  </si>
  <si>
    <t>Subjective wellbeing (GHQ): Likert
Scale from 0 to 36, assumed to be continuous in the simulation.</t>
  </si>
  <si>
    <t>Years in partnership</t>
  </si>
  <si>
    <t>Difference between ages of partners in a union</t>
  </si>
  <si>
    <t>Labour</t>
  </si>
  <si>
    <t>Activity status
 1 Employed or self-employed
 2 Student
 3 Not employed 
 4 Retired</t>
  </si>
  <si>
    <t>Spouse's Activity status
 1 Employed or self-employed
 2 Student
 3 Not employed 
 4 Retired</t>
  </si>
  <si>
    <t>Wealth</t>
  </si>
  <si>
    <t>Household income - Quintiles
 1 1st quintile (low)
 2 2nd quintile
 3 3rd quintile
 4 4th quintile
 5 5th quintile (High)</t>
  </si>
  <si>
    <t>Income</t>
  </si>
  <si>
    <t>Data collection wave</t>
  </si>
  <si>
    <t>Benefit Unit</t>
  </si>
  <si>
    <t>Lag(1) of dhesp</t>
  </si>
  <si>
    <t>Lag(1) of dhe</t>
  </si>
  <si>
    <t>Lag(1) of dcpst</t>
  </si>
  <si>
    <t>Lag(2) of dcpst</t>
  </si>
  <si>
    <t>Lag(1) of deh</t>
  </si>
  <si>
    <t>Lag(1) of dehsp</t>
  </si>
  <si>
    <t>Lag(1) of dcpyy</t>
  </si>
  <si>
    <t>Lag(1) of dcpagdf</t>
  </si>
  <si>
    <t>Lag(1) of dlltsd</t>
  </si>
  <si>
    <t>Lag(1) of les_c4</t>
  </si>
  <si>
    <t>Lag(1) of les_c7_covid</t>
  </si>
  <si>
    <t>Lag(1) of lesdf</t>
  </si>
  <si>
    <t>Lag(1) of ypnbihs_dv</t>
  </si>
  <si>
    <t>Lag(2) of ypncp</t>
  </si>
  <si>
    <t>Lag(1) of ypnoab</t>
  </si>
  <si>
    <t>Lag(2) of ypnoab</t>
  </si>
  <si>
    <t>Lag(1) of yptciihs_dv</t>
  </si>
  <si>
    <t>Lag(2) of yptciihs_dv</t>
  </si>
  <si>
    <t>Lag(3) of yptciihs_dv</t>
  </si>
  <si>
    <t>Lag(1) of yplgrs_dv</t>
  </si>
  <si>
    <t>Lag(2) of yplgrs_dv</t>
  </si>
  <si>
    <t>Lag(3) of yplgrs_dv</t>
  </si>
  <si>
    <t>Lag(1) of ynbcpdf_dv</t>
  </si>
  <si>
    <t>05_create_benefit_units.do</t>
  </si>
  <si>
    <t>Stata command: idbenefitunit = idperson[1] //oldest person becomes head of first benefit unit</t>
  </si>
  <si>
    <t>Weight</t>
  </si>
  <si>
    <t>indpxub_xw; indpxui_xw;
indpxg2_xw</t>
  </si>
  <si>
    <t>indinus_lw</t>
  </si>
  <si>
    <t>indscus_lw</t>
  </si>
  <si>
    <t>hhdenub_xw;
hhdenui_xw;
hhdeng2_xw</t>
  </si>
  <si>
    <t>nch02_dv</t>
  </si>
  <si>
    <t>dagsq</t>
  </si>
  <si>
    <t>sf12mcs_dv</t>
  </si>
  <si>
    <t>SF-12 Mental Component Summary (MCS). Continuous scale with a range of 0 (low functioning) to 100 (high functioning)</t>
  </si>
  <si>
    <t>Lag(1) of dhe_mcs</t>
  </si>
  <si>
    <t>sf12pcs_dv</t>
  </si>
  <si>
    <t>SF-12 Physical Component Summary (PCS). Continuous  scale with a range of 0 (low functioning) to 100 (high functioning)</t>
  </si>
  <si>
    <t>Lag(1) of dhe_pcs</t>
  </si>
  <si>
    <t>02_create_ukhls_variables.do</t>
  </si>
  <si>
    <t>Partner's Self-rated health health - mental component</t>
  </si>
  <si>
    <t>Partner's Self-rated health health - physical component</t>
  </si>
  <si>
    <t>Identifier</t>
  </si>
  <si>
    <t>Region</t>
  </si>
  <si>
    <t>id</t>
  </si>
  <si>
    <t>wgt</t>
  </si>
  <si>
    <t>Gender</t>
  </si>
  <si>
    <t>sex</t>
  </si>
  <si>
    <t>age</t>
  </si>
  <si>
    <t>Health</t>
  </si>
  <si>
    <t>health</t>
  </si>
  <si>
    <t>Status</t>
  </si>
  <si>
    <t>stat</t>
  </si>
  <si>
    <t>Well-being</t>
  </si>
  <si>
    <t>wb</t>
  </si>
  <si>
    <t>psy</t>
  </si>
  <si>
    <t>Psychological</t>
  </si>
  <si>
    <t>Children</t>
  </si>
  <si>
    <t>child</t>
  </si>
  <si>
    <t>Number</t>
  </si>
  <si>
    <t>n</t>
  </si>
  <si>
    <t>Marital</t>
  </si>
  <si>
    <t>Education</t>
  </si>
  <si>
    <t>Partnership</t>
  </si>
  <si>
    <t>partner</t>
  </si>
  <si>
    <t>Disability</t>
  </si>
  <si>
    <t>Retired</t>
  </si>
  <si>
    <t>Pension</t>
  </si>
  <si>
    <t>pens</t>
  </si>
  <si>
    <t>Parental</t>
  </si>
  <si>
    <t>parent</t>
  </si>
  <si>
    <t>Home</t>
  </si>
  <si>
    <t>home</t>
  </si>
  <si>
    <t>Activity</t>
  </si>
  <si>
    <t>Liquid</t>
  </si>
  <si>
    <t>liq</t>
  </si>
  <si>
    <t>wealth</t>
  </si>
  <si>
    <t>Person/Personal</t>
  </si>
  <si>
    <t>pers</t>
  </si>
  <si>
    <t>hh</t>
  </si>
  <si>
    <t>y</t>
  </si>
  <si>
    <t>x</t>
  </si>
  <si>
    <t>Benefit</t>
  </si>
  <si>
    <t>ben</t>
  </si>
  <si>
    <t>Employment</t>
  </si>
  <si>
    <t>emp</t>
  </si>
  <si>
    <t>Unemployment</t>
  </si>
  <si>
    <t>Poverty</t>
  </si>
  <si>
    <t>Inequality</t>
  </si>
  <si>
    <t>ineq</t>
  </si>
  <si>
    <t>Financial</t>
  </si>
  <si>
    <t>fin</t>
  </si>
  <si>
    <t>Disposable</t>
  </si>
  <si>
    <t>disp</t>
  </si>
  <si>
    <t>Yearly</t>
  </si>
  <si>
    <t>year</t>
  </si>
  <si>
    <t>Monthly</t>
  </si>
  <si>
    <t>month</t>
  </si>
  <si>
    <t>Gross</t>
  </si>
  <si>
    <t>gross</t>
  </si>
  <si>
    <t>Net</t>
  </si>
  <si>
    <t>net</t>
  </si>
  <si>
    <t>Investment</t>
  </si>
  <si>
    <t>invest</t>
  </si>
  <si>
    <t>Fertility</t>
  </si>
  <si>
    <t>fert</t>
  </si>
  <si>
    <t>Social</t>
  </si>
  <si>
    <t>soc</t>
  </si>
  <si>
    <t>care</t>
  </si>
  <si>
    <t>work</t>
  </si>
  <si>
    <t>Hours</t>
  </si>
  <si>
    <t>Regression</t>
  </si>
  <si>
    <t>regress</t>
  </si>
  <si>
    <t>Consumption</t>
  </si>
  <si>
    <t>Equivalent/Equivalised</t>
  </si>
  <si>
    <t>equiv</t>
  </si>
  <si>
    <t>Male(s)</t>
  </si>
  <si>
    <t>Female(s)</t>
  </si>
  <si>
    <t>Couple</t>
  </si>
  <si>
    <t>This measure converts valid answers to 12 questions of the General Health Questionnaire (GHQ) to a single scale by recoding 1 and 2 values 
on individual variables to 0, and 3 and 4 values to 1, and then summing, giving a scale running from 0 (the least distressed) to 12 
(the most distressed).</t>
  </si>
  <si>
    <t>The original scghq2_dv variable converts valid answers to 12 questions of the General Health Questionnaire (GHQ) to a single scale by recoding 1 and 2 values on individual variables to 0, and 3 and 4 values to 1, and then summing, giving a scale running from 0 (the least distressed) to 12 (the most distressed). dhm_ghq is a binary indicator equal to 1 for values &gt;= 4.</t>
  </si>
  <si>
    <t>Subjective wellbeing (GHQ): Scale 0 (the least distressed) to 12 (the most distressed).</t>
  </si>
  <si>
    <t>Mean of dhe_mcs (gender-year; total-year)</t>
  </si>
  <si>
    <t>File: HealthStatistics1.csv</t>
  </si>
  <si>
    <t>Median of dhe_mcs (gender-year; total-year)</t>
  </si>
  <si>
    <t>Percentile (10) of dhe_mcs (gender-year; total-year)</t>
  </si>
  <si>
    <t>Percentile (25) of dhe_mcs (gender-year; total-year)</t>
  </si>
  <si>
    <t>Percentile (75) of dhe_mcs (gender-year; total-year)</t>
  </si>
  <si>
    <t>Percentile (100) of dhe_mcs (gender-year; total-year)</t>
  </si>
  <si>
    <t>Mean of dhe_pcs (gender-year; total-year)</t>
  </si>
  <si>
    <t>Median of dhe_pcs (gender-year; total-year)</t>
  </si>
  <si>
    <t>Percentile (10) of dhe_pcs (gender-year; total-year)</t>
  </si>
  <si>
    <t>Percentile (25) of dhe_pcs (gender-year; total-year)</t>
  </si>
  <si>
    <t>Percentile (75) of dhe_pcs (gender-year; total-year)</t>
  </si>
  <si>
    <t>Percentile (100) of dhe_pcs (gender-year; total-year)</t>
  </si>
  <si>
    <t>Mean of dhm (gender-year; total-year)</t>
  </si>
  <si>
    <t>Median of dhm (gender-year; total-year)</t>
  </si>
  <si>
    <t>Percentile (10) of dhm (gender-year; total-year)</t>
  </si>
  <si>
    <t>Percentile (25) of dhm (gender-year; total-year)</t>
  </si>
  <si>
    <t>Percentile (75) of dhm (gender-year; total-year)</t>
  </si>
  <si>
    <t>Percentile (100) of dhm (gender-year; total-year)</t>
  </si>
  <si>
    <t>Mean of dls (gender-year; total-year)</t>
  </si>
  <si>
    <t>Median of dls (gender-year; total-year)</t>
  </si>
  <si>
    <t>Percentile (10) of dls (gender-year; total-year)</t>
  </si>
  <si>
    <t>Percentile (25) of dls (gender-year; total-year)</t>
  </si>
  <si>
    <t>Percentile (75) of dls (gender-year; total-year)</t>
  </si>
  <si>
    <t>Percentile (100) of dls (gender-year; total-year)</t>
  </si>
  <si>
    <t>Wave B18</t>
  </si>
  <si>
    <t>dcpst (mastat_dv)</t>
  </si>
  <si>
    <t>idpartner (ppid)</t>
  </si>
  <si>
    <t>dag (age_dv);
dagsp</t>
  </si>
  <si>
    <t>Long-term sick/disabled or receives disability benefits</t>
  </si>
  <si>
    <t>dcpst (mastat_dv); dnc</t>
  </si>
  <si>
    <t>Lag(1) of dhhtp_c4</t>
  </si>
  <si>
    <t>Activity status
 1 Employed or self-employed
 2 Student
 3 Not employed (includes apprenticeships, unpaid family business, govt training scheme+retired)</t>
  </si>
  <si>
    <t>les_c3 (jbstat); idpartner</t>
  </si>
  <si>
    <t>Spouse's Activity status
 1 Employed or self-employed
 2 Student
 3 Not employed (includes apprenticeships, unpaid family business, govt training scheme+retired)</t>
  </si>
  <si>
    <t>les_c4 (jbstat); idpartner</t>
  </si>
  <si>
    <t>les_c3 (jbstat); lessp_c3</t>
  </si>
  <si>
    <t>wealthi</t>
  </si>
  <si>
    <t>08_wealth_to_ukhls</t>
  </si>
  <si>
    <t>Lag(1) of ydses_c5</t>
  </si>
  <si>
    <t>fimninvnet_dv; inc_fm; inc_oth; fimnprben_dv</t>
  </si>
  <si>
    <t>fimnpen_dv; inc_pp</t>
  </si>
  <si>
    <t>fimnlabgrs_dv</t>
  </si>
  <si>
    <t>ypnbihs_dv; ypnbihs_dv_sp</t>
  </si>
  <si>
    <t>wvno</t>
  </si>
  <si>
    <t>l.jbstat;
jbstat</t>
  </si>
  <si>
    <t>idpartner; dgn (sexs_dv); dgnsp</t>
  </si>
  <si>
    <t>dag (age_dv); dgn (sex_dv)</t>
  </si>
  <si>
    <t>dag(age_dv); l.ded</t>
  </si>
  <si>
    <t>intdaty_dv</t>
  </si>
  <si>
    <t>Interview year</t>
  </si>
  <si>
    <t>Household income includes any benefits
0 No (fihhmnsben_dv=0)
1 Yes (fihhmnsben_dv &gt; 0)</t>
  </si>
  <si>
    <t>econ_benefits; benefits_uc</t>
  </si>
  <si>
    <t>Household income includes non-UC benefits
0 No
1 Yes</t>
  </si>
  <si>
    <t>Household income includes UC benefits
0 No
1 Yes</t>
  </si>
  <si>
    <t>Person number</t>
  </si>
  <si>
    <t>Person number of partner</t>
  </si>
  <si>
    <t>dvage</t>
  </si>
  <si>
    <t>Partner's age</t>
  </si>
  <si>
    <t>dag (age_dv); idpartner</t>
  </si>
  <si>
    <t>jbhrs; jbot; jshrs</t>
  </si>
  <si>
    <t>Hours worked per week (capped at 126)</t>
  </si>
  <si>
    <t>lhw; l1.les_c4; les_c4</t>
  </si>
  <si>
    <t>Lag(1) of lhw</t>
  </si>
  <si>
    <t>hhdenub_xw; hhdenui_xw; hhdeng2_xw</t>
  </si>
  <si>
    <t>09_finalise_input_data</t>
  </si>
  <si>
    <t>Adult child
0 No
1 Yes</t>
  </si>
  <si>
    <t>uk_pop; surv_pop</t>
  </si>
  <si>
    <t>Potential hourly earnings</t>
  </si>
  <si>
    <t>UK_pop / surv_pop</t>
  </si>
  <si>
    <t>sinh(yplgrs_dv)/(lhw*4.33) if les_c4 == 1</t>
  </si>
  <si>
    <t>yplgrs_dv; lhw; les_c4</t>
  </si>
  <si>
    <t>Lag(1) of potential_earnings_hourly</t>
  </si>
  <si>
    <t>Value of aggregate pension rights</t>
  </si>
  <si>
    <t>adla; adlb; adlc; adld; adle; adlf; adlg; adlh; adli; adlj; adlk; adll; adlm; adln</t>
  </si>
  <si>
    <t>03_social_care_received</t>
  </si>
  <si>
    <t>Need care (non-independent individual)
0 No
1 Yes</t>
  </si>
  <si>
    <t>helpcode; hrs</t>
  </si>
  <si>
    <t>Hours of formal social care received</t>
  </si>
  <si>
    <t>Hours of social care received from the partner</t>
  </si>
  <si>
    <t>Hours of social care received from the daughter</t>
  </si>
  <si>
    <t>Hours of social care received from the son</t>
  </si>
  <si>
    <t>Hours of social care received from others</t>
  </si>
  <si>
    <t>Cost for formal social care received</t>
  </si>
  <si>
    <t>(year dependent) cost * formal_socare_hrs</t>
  </si>
  <si>
    <t>Weekly hours of care provided (capped)</t>
  </si>
  <si>
    <t>(&lt;= 168)</t>
  </si>
  <si>
    <t>04_social_care_provided</t>
  </si>
  <si>
    <t>care_partner; care_nonpartner</t>
  </si>
  <si>
    <t>Who provides care to the person
1 Partner only
2 Partner and non-partner
3 Non-partner only</t>
  </si>
  <si>
    <t>sclfsato</t>
  </si>
  <si>
    <t>Life satisfaction - score 1-7</t>
  </si>
  <si>
    <t>Lag(1) of dls</t>
  </si>
  <si>
    <t>Predicted dls</t>
  </si>
  <si>
    <t>ethn_dv</t>
  </si>
  <si>
    <t>Ethnicity
1 White
2 Asian
3 Black
4 Arab, mixed, other and missing</t>
  </si>
  <si>
    <t>Ethnicity
1 White
2 Mixed
3 Asian
4 Black
5 Arab, other
6 Missing</t>
  </si>
  <si>
    <t>Labour status: unemployed
0 No
1 Yes</t>
  </si>
  <si>
    <t>finnow</t>
  </si>
  <si>
    <t>Financial Distress
0 No
1 Yes</t>
  </si>
  <si>
    <t>File: Statistics1</t>
  </si>
  <si>
    <t>Number of model run</t>
  </si>
  <si>
    <t>Year</t>
  </si>
  <si>
    <t>File: all output files</t>
  </si>
  <si>
    <t>At risk of poverty
0 No
1 Yes</t>
  </si>
  <si>
    <t>equivalisedDisposableIncomeYearly &lt; 60% of median household's</t>
  </si>
  <si>
    <t>Lag(1) of atRiskOfPoverty</t>
  </si>
  <si>
    <t>Activity (employment) status used in the Covid-19 models
Employee
SelfEmployed
FurloughedFull
FurloughedFlex
NotEmployed
Student
Retired</t>
  </si>
  <si>
    <t>Amount of benefits received per month</t>
  </si>
  <si>
    <t>Amount spent for weekly childcare</t>
  </si>
  <si>
    <t>Are any of the individuals in the benefit unit a homeowner?
TRUE
FALSE</t>
  </si>
  <si>
    <t>Monthly disposable income</t>
  </si>
  <si>
    <t>Equivalised yearly disposable income</t>
  </si>
  <si>
    <t>Lag(1) of equivalisedDisposableIncomeYearly</t>
  </si>
  <si>
    <t>Yearly gross income</t>
  </si>
  <si>
    <t>Household ID</t>
  </si>
  <si>
    <t>Benefit Unit ID</t>
  </si>
  <si>
    <t>Person ID</t>
  </si>
  <si>
    <t>Partner ID</t>
  </si>
  <si>
    <t>Father ID</t>
  </si>
  <si>
    <t>Mother ID</t>
  </si>
  <si>
    <t>Yearly investment income</t>
  </si>
  <si>
    <t>Liquid wealth</t>
  </si>
  <si>
    <t xml:space="preserve">liquidWealth += disposableIncomeMonthly * 12.0 - discretionaryConsumptionPerYear - getNonDiscretionaryConsumptionPerYear();
    </t>
  </si>
  <si>
    <t>Yearly pension income</t>
  </si>
  <si>
    <t>if (toRetire &amp;&amp; getLiquidWealth() &gt; 0.0) {
                pensionIncomeAnnual = liquidWealth * Parameters.SHARE_OF_WEALTH_TO_ANNUITISE_AT_RETIREMENT /
                        Parameters.annuityRates.getAnnuityRate(occupancy, getYear()-refPerson.getDag(), refPerson.getDag());
                liquidWealth *= (1.0 - Parameters.SHARE_OF_WEALTH_TO_ANNUITISE_AT_RETIREMENT)</t>
  </si>
  <si>
    <t>Region of household</t>
  </si>
  <si>
    <t>Region : NUTS Level 1
1 "North East" 
2 "North West"
4 "Yorkshire and the Humber
5 "East Midlands"
6 "West Midlands"
7 "East of England"
8 "London"
9 "South East"
10 "South West"
11 "Wales"
12 "Scotland"
13 "Northern Ireland"</t>
  </si>
  <si>
    <t>See drgn1</t>
  </si>
  <si>
    <t>Seed</t>
  </si>
  <si>
    <t>Cost for weekly social care received</t>
  </si>
  <si>
    <t xml:space="preserve"> </t>
  </si>
  <si>
    <t>Provided social care
0 No
1 Yes</t>
  </si>
  <si>
    <t>Lag(1) of socialCareProvision</t>
  </si>
  <si>
    <t>Tax donor ID for disposable income matching</t>
  </si>
  <si>
    <t>Share of individuals who passed from employment to not employment</t>
  </si>
  <si>
    <t>Share of individuals who passed from not employment to employment</t>
  </si>
  <si>
    <t>Share of the employed</t>
  </si>
  <si>
    <t>Share of the unemployed</t>
  </si>
  <si>
    <t>File: Statistics1.csv</t>
  </si>
  <si>
    <t>File: BenefitUnit.csv</t>
  </si>
  <si>
    <t>File: EmploymentStatistics1.csv</t>
  </si>
  <si>
    <t>Aggregate totals by gender in health statistics
Male
Female</t>
  </si>
  <si>
    <t>File: Household.csv</t>
  </si>
  <si>
    <t>File: Person.csv</t>
  </si>
  <si>
    <t>Lag(1) of potentialHourlyEarnings</t>
  </si>
  <si>
    <t>Flag to keep track of newborns
TRUE
FALSE</t>
  </si>
  <si>
    <t>Cost for weekly formal social care received</t>
  </si>
  <si>
    <t>Weekly hours of social care received from the daughter</t>
  </si>
  <si>
    <t>Weekly hours of formal social care received</t>
  </si>
  <si>
    <t>Weekly hours of social care received from others</t>
  </si>
  <si>
    <t>Weekly hours of social care received from the parents</t>
  </si>
  <si>
    <t>Weekly hours of social care received from the partner</t>
  </si>
  <si>
    <t>Weekly hours of social care received from the son</t>
  </si>
  <si>
    <t>Lag(1) of careHoursFromDaughterWeekly</t>
  </si>
  <si>
    <t>Lag(1) of careHoursFromFormalWeekly</t>
  </si>
  <si>
    <t>Lag(1) of careHoursFromOtherWeekly</t>
  </si>
  <si>
    <t>Lag(1) of careHoursFromParentWeekly</t>
  </si>
  <si>
    <t>Lag(1) of careHoursFromPartnerWeekly</t>
  </si>
  <si>
    <t>Lag(1) of careHoursFromSonWeekly</t>
  </si>
  <si>
    <t>Weekly hours of care provided</t>
  </si>
  <si>
    <t>See Initial Populations: carehoursprovidedweekly</t>
  </si>
  <si>
    <t>Quintiles</t>
  </si>
  <si>
    <t>Psychological distress case-based</t>
  </si>
  <si>
    <t>Lag(1) of dhmGhq</t>
  </si>
  <si>
    <t>See Initial Populations: financial_distress</t>
  </si>
  <si>
    <t>Hourly rate.  Initialised with value: ils_earns / (4.34 * lhw), where lhw is the weekly hours a person worked in EUROMOD input data. See Initial Populations: potential_earnings_hourly</t>
  </si>
  <si>
    <t>EQ5D quality of life score</t>
  </si>
  <si>
    <t>Values 0-1</t>
  </si>
  <si>
    <t>Number of hours of labour supplied each week</t>
  </si>
  <si>
    <t>See Initial Populations: lhw</t>
  </si>
  <si>
    <t>Lag(1) of labourSupplyWeekly</t>
  </si>
  <si>
    <t>Received a low wage offer
TRUE
FALSE</t>
  </si>
  <si>
    <t>Lag(1) of lowWageOffer</t>
  </si>
  <si>
    <t>Need of social care
TRUE
FALSE</t>
  </si>
  <si>
    <t>Lag(1) of needSocialCare</t>
  </si>
  <si>
    <t>Received non-UC benefits
0 No
1 Yes</t>
  </si>
  <si>
    <t>Received any benefits
0 No
1 Yes</t>
  </si>
  <si>
    <t>Received UC benefits
0 No
1 Yes</t>
  </si>
  <si>
    <t>See Initial Populations: econ_benefits</t>
  </si>
  <si>
    <t>See Initial Populations: econ_benefits_nonuc</t>
  </si>
  <si>
    <t>See Initial Populations: econ_benefits_uc</t>
  </si>
  <si>
    <t>Lag(1) of receivesBenefitsFlag</t>
  </si>
  <si>
    <t>Lag(1) of receivesBenefitsFlagNonUC</t>
  </si>
  <si>
    <t>Lag(1) of receivesBenefitsFlagUC</t>
  </si>
  <si>
    <t>Exit sample via
NotYet
Death
DeathAlignment
EmigrationAlignment
Orphan</t>
  </si>
  <si>
    <t>Enum</t>
  </si>
  <si>
    <t>Person weight</t>
  </si>
  <si>
    <t>Yearly equivalised consumption</t>
  </si>
  <si>
    <t>Lag(1) of yearlyEquivalisedConsumption</t>
  </si>
  <si>
    <t>File: Statistics2</t>
  </si>
  <si>
    <t>File: Statistics3</t>
  </si>
  <si>
    <t>Percentile (20) of gross labour income</t>
  </si>
  <si>
    <t>Percentile (40) of gross labour income</t>
  </si>
  <si>
    <t>Percentile (60) of gross labour income</t>
  </si>
  <si>
    <t>Percentile (80) of gross labour income</t>
  </si>
  <si>
    <t>Median equivalised household disposable income</t>
  </si>
  <si>
    <t>Consumption-Leisure ratio</t>
  </si>
  <si>
    <t>Average disposable income age 18-29</t>
  </si>
  <si>
    <t>Average disposable income age 30-54</t>
  </si>
  <si>
    <t>Average disposable income age 55-74</t>
  </si>
  <si>
    <t>Average expenditure age 18-29</t>
  </si>
  <si>
    <t>Average expenditure age 18-54</t>
  </si>
  <si>
    <t>Average expenditure age 30-54</t>
  </si>
  <si>
    <t>Average expenditure age 55-74</t>
  </si>
  <si>
    <t>Share not working age 18-29</t>
  </si>
  <si>
    <t>Share not working age 18-74</t>
  </si>
  <si>
    <t>Share not working age 30-54</t>
  </si>
  <si>
    <t>Share not working age 55-74</t>
  </si>
  <si>
    <t>Average number of children age 18-29</t>
  </si>
  <si>
    <t>Average number of children age 30-54</t>
  </si>
  <si>
    <t>Average number of children age 55-74</t>
  </si>
  <si>
    <t>Share working full time age 18-29</t>
  </si>
  <si>
    <t>Share working full time age 30-54</t>
  </si>
  <si>
    <t>Share working full time age 55-74</t>
  </si>
  <si>
    <t>Share working part time age 18-29</t>
  </si>
  <si>
    <t>Share working part time age 30-54</t>
  </si>
  <si>
    <t>Share working part time age 55-74</t>
  </si>
  <si>
    <t>dispIncomeGrossOfLosses18to29</t>
  </si>
  <si>
    <t>dispIncomeGrossOfLosses30to54</t>
  </si>
  <si>
    <t>Average gross income (gross of losses) age 18-29</t>
  </si>
  <si>
    <t>Average gross income (gross of losses) age 30-54</t>
  </si>
  <si>
    <t>Average gross income (gross of losses) age 55-74</t>
  </si>
  <si>
    <t>File: Statistics2. Score 1-5, see dhe</t>
  </si>
  <si>
    <t>Average health score age 18-29</t>
  </si>
  <si>
    <t>Average health score age 30-54</t>
  </si>
  <si>
    <t>Average health score age 55-74</t>
  </si>
  <si>
    <t>Average investment income age 18-29</t>
  </si>
  <si>
    <t>Average investment income age 30-54</t>
  </si>
  <si>
    <t>Average investment income age 55-74</t>
  </si>
  <si>
    <t>Average investment losses age 18-29</t>
  </si>
  <si>
    <t>Average investment losses age 30-54</t>
  </si>
  <si>
    <t>Average investment losses age 55-74</t>
  </si>
  <si>
    <t>Average labour income age 18-29</t>
  </si>
  <si>
    <t>Average labour income age 30-54</t>
  </si>
  <si>
    <t>Average labour income age 55-74</t>
  </si>
  <si>
    <t>Average pension income age 18-29</t>
  </si>
  <si>
    <t>Average pension income age 30-54</t>
  </si>
  <si>
    <t>Average pension income age 55-74</t>
  </si>
  <si>
    <t>Number of people aged 18-29</t>
  </si>
  <si>
    <t>Number of people aged 30-54</t>
  </si>
  <si>
    <t>Number of people aged 55-74</t>
  </si>
  <si>
    <t>Share disable age 18-29</t>
  </si>
  <si>
    <t>Share disable age 30-54</t>
  </si>
  <si>
    <t>Share disable age 55-74</t>
  </si>
  <si>
    <t>Share married age 18-29</t>
  </si>
  <si>
    <t>Share married age 30-54</t>
  </si>
  <si>
    <t>Share married age 55-74</t>
  </si>
  <si>
    <t>Average wealth age 18-29</t>
  </si>
  <si>
    <t>Average wealth age 30-54</t>
  </si>
  <si>
    <t>Average wealth age 55-74</t>
  </si>
  <si>
    <t>Fertility adjustment factor</t>
  </si>
  <si>
    <t>Fertility rate</t>
  </si>
  <si>
    <t>Fertility rate target</t>
  </si>
  <si>
    <t>Partnership adjustment factor</t>
  </si>
  <si>
    <t>Share of people cohabiting</t>
  </si>
  <si>
    <t>Share of people cohabiting target</t>
  </si>
  <si>
    <t>Social care adjustment factor</t>
  </si>
  <si>
    <t>Utility adjustment factor couples</t>
  </si>
  <si>
    <t>Instantiated for IO decision solution
TRUE
FALSE</t>
  </si>
  <si>
    <t>Received social care
0 None
1 Informal
2 Mixed
3 Formal</t>
  </si>
  <si>
    <t>Received formal social care
TRUE
FALSE</t>
  </si>
  <si>
    <t>Received formal social care from the partner
TRUE
FALSE</t>
  </si>
  <si>
    <t>Received formal social care from the daughter
TRUE
FALSE</t>
  </si>
  <si>
    <t>Received formal social care from the son
TRUE
FALSE</t>
  </si>
  <si>
    <t>Received formal social care from others
TRUE
FALSE</t>
  </si>
  <si>
    <t>Lag(1) of dhhOwned</t>
  </si>
  <si>
    <t>Lag(1) of idParnter</t>
  </si>
  <si>
    <t>Lag(1) of household_status</t>
  </si>
  <si>
    <t>Hours worked per week</t>
  </si>
  <si>
    <t>Yearly equivalised disposable income</t>
  </si>
  <si>
    <t>Age group
1 dag &gt;= 18 &amp;&amp; dag &lt; 21
2 dag &gt;= 21 &amp;&amp; dag &lt; 24
3 dag &gt;= 24 &amp;&amp; dag &lt; 27
4 dag &gt;= 27 &amp;&amp; dag &lt; 30
5 dag &gt;= 30 &amp;&amp; dag &lt; 33
6 dag &gt;= 33 &amp;&amp; dag &lt; 36
7 dag &gt;= 36 &amp;&amp; dag &lt; 40
8 dag &gt;= 40 &amp;&amp; dag &lt; 45
9 dag &gt;= 45 &amp;&amp; dag &lt; 55
10 dag &gt;= 55 &amp;&amp; dag &lt; 65
11 dag &gt;= 65</t>
  </si>
  <si>
    <t>Left education
TRUE
FALSE</t>
  </si>
  <si>
    <t>Left partnership
TRUE
FALSE</t>
  </si>
  <si>
    <t>Lag (1) of covidModuleGrossLabourIncome</t>
  </si>
  <si>
    <t>Received SEISS
TRUE
FALSE</t>
  </si>
  <si>
    <t>Gross labour income in the Covid Module</t>
  </si>
  <si>
    <t>Random component in the wage regression for the employed</t>
  </si>
  <si>
    <t>Random component in the wage regression for the non-employed</t>
  </si>
  <si>
    <t>rmse * gauss</t>
  </si>
  <si>
    <t>Local variables interact with regression models</t>
  </si>
  <si>
    <t>Year local</t>
  </si>
  <si>
    <t>Region local</t>
  </si>
  <si>
    <t>Lag(1) of dhhtp_c4Local</t>
  </si>
  <si>
    <t>Lag(1) of ydses_c5Local</t>
  </si>
  <si>
    <t>Number of children local</t>
  </si>
  <si>
    <t>Lag(1) of numberChildrenAllLocal</t>
  </si>
  <si>
    <t>Number of children 0-2 local</t>
  </si>
  <si>
    <t>Number of children 0-17 local</t>
  </si>
  <si>
    <t>Lag(1) of indicatorChildren02Local</t>
  </si>
  <si>
    <t>Partnership status local</t>
  </si>
  <si>
    <t>Max InverseMills Ratio males - employment selection</t>
  </si>
  <si>
    <t>Min InverseMills Ratio males - employment selection</t>
  </si>
  <si>
    <t>Max InverseMills Ratio females - employment selection</t>
  </si>
  <si>
    <t>Min InverseMills Ratio females - employment selection</t>
  </si>
  <si>
    <t>Yearly discretionary consumption</t>
  </si>
  <si>
    <t>Value of housing wealth</t>
  </si>
  <si>
    <t>Received legacy benefits
0 No
1 Yes</t>
  </si>
  <si>
    <t>Education - Highest Status local</t>
  </si>
  <si>
    <t>New name</t>
  </si>
  <si>
    <t>Individual</t>
  </si>
  <si>
    <t>ind</t>
  </si>
  <si>
    <t>Cross-sectional</t>
  </si>
  <si>
    <t>cross</t>
  </si>
  <si>
    <t>Longitudinal</t>
  </si>
  <si>
    <t>long</t>
  </si>
  <si>
    <t>Style</t>
  </si>
  <si>
    <t>Applicable to</t>
  </si>
  <si>
    <t>Java Classes</t>
  </si>
  <si>
    <t>Squared</t>
  </si>
  <si>
    <t>Distress</t>
  </si>
  <si>
    <t>lab</t>
  </si>
  <si>
    <t>Categories</t>
  </si>
  <si>
    <t>Difference</t>
  </si>
  <si>
    <t>diff</t>
  </si>
  <si>
    <t>Gender
 0 Female
 1 Male</t>
  </si>
  <si>
    <t>In Continuous Education
 0 No
 1 Yes</t>
  </si>
  <si>
    <t>Return to Education
 0 No
 1 Yes</t>
  </si>
  <si>
    <t>Enter partnership
 0 No
 1 Yes</t>
  </si>
  <si>
    <t>Exited partnership
 0 No
 1 Yes</t>
  </si>
  <si>
    <t>Long-term sick or disabled
 0 No
 1 Yes</t>
  </si>
  <si>
    <t>Retired
 0 No
 1 Yes</t>
  </si>
  <si>
    <t>Enter retirement
 0 No
 1 Yes</t>
  </si>
  <si>
    <t>Exited Parental Home
 0 No
 1 Yes</t>
  </si>
  <si>
    <t>Year left education
 0 No
 1 Yes</t>
  </si>
  <si>
    <t>In a same-sex partnership
 0 No
 1 Yes</t>
  </si>
  <si>
    <t>Women age 18-44 (Fertility Range)
0 No 
1 Yes</t>
  </si>
  <si>
    <t>Continuous education sample
 0 Aged 16+ and not in continuous education
 1 Aged 16-29 and in continuous education</t>
  </si>
  <si>
    <t xml:space="preserve">Return to education sample
 1 Aged 16-29 not in continous education or aged 30-45 </t>
  </si>
  <si>
    <t>In Continuous education sample
 0 Aged 16+ and not in continuous education
 1 Aged 16-29 and in continuous education</t>
  </si>
  <si>
    <t>Partnership status
 1 Partnered 
 2 Single and never married
 3 Previously partnered</t>
  </si>
  <si>
    <t>Education - Highest Status
 1 High  
 2 Medium
 3 Low</t>
  </si>
  <si>
    <t>Education - Spouse's Highest Status
 1 High  
 2 Medium
 3 Low</t>
  </si>
  <si>
    <t>Education - Mother's Highest Status
 1 High  
 2 Medium
 3 Low</t>
  </si>
  <si>
    <t>Education - Father's Highest Status
 1 High
 2 Medium
 3 Low</t>
  </si>
  <si>
    <t>Household Composition
 1 Couple with No Children
 2 Couple with Children
 3 Single with No Children
 4 Single with Children</t>
  </si>
  <si>
    <t>Own and Spousal Activity Status 
 1 Both employed
 2 Employed and spouse not employed
 3 Not employed and spouse employed
 4 Both not employed</t>
  </si>
  <si>
    <t>Sample</t>
  </si>
  <si>
    <t>In education age range
0 No
1 Yes</t>
  </si>
  <si>
    <t>Work(ed)</t>
  </si>
  <si>
    <t>Hourly</t>
  </si>
  <si>
    <t>Total</t>
  </si>
  <si>
    <t>tot</t>
  </si>
  <si>
    <t>House(ing)</t>
  </si>
  <si>
    <t>Predicted</t>
  </si>
  <si>
    <t>pred</t>
  </si>
  <si>
    <t>Database</t>
  </si>
  <si>
    <t>db</t>
  </si>
  <si>
    <t>Proportion</t>
  </si>
  <si>
    <t>sim</t>
  </si>
  <si>
    <t>Population</t>
  </si>
  <si>
    <t>pop</t>
  </si>
  <si>
    <t>Adjustment</t>
  </si>
  <si>
    <t>adj</t>
  </si>
  <si>
    <t>Factor</t>
  </si>
  <si>
    <t>Simulation/Simulated</t>
  </si>
  <si>
    <t>Cohabiting</t>
  </si>
  <si>
    <t>Utility adjustment factor single females</t>
  </si>
  <si>
    <t>Utility adjustment factor single males</t>
  </si>
  <si>
    <t>Utility</t>
  </si>
  <si>
    <t>util</t>
  </si>
  <si>
    <t>Single(s)</t>
  </si>
  <si>
    <t>Module</t>
  </si>
  <si>
    <t>Word</t>
  </si>
  <si>
    <t>Abbreviation</t>
  </si>
  <si>
    <t>5. Other information</t>
  </si>
  <si>
    <r>
      <t xml:space="preserve">3. Level (if applicable). </t>
    </r>
    <r>
      <rPr>
        <b/>
        <sz val="11"/>
        <color theme="1"/>
        <rFont val="Calibri"/>
        <family val="2"/>
        <scheme val="minor"/>
      </rPr>
      <t>Example</t>
    </r>
    <r>
      <rPr>
        <sz val="11"/>
        <color theme="1"/>
        <rFont val="Calibri"/>
        <family val="2"/>
        <scheme val="minor"/>
      </rPr>
      <t>: Household (hh)</t>
    </r>
  </si>
  <si>
    <t>Social care</t>
  </si>
  <si>
    <t>Mental health</t>
  </si>
  <si>
    <t>Statistical display</t>
  </si>
  <si>
    <t>Covid</t>
  </si>
  <si>
    <t>Demography</t>
  </si>
  <si>
    <t>Acronym</t>
  </si>
  <si>
    <t>Modules</t>
  </si>
  <si>
    <t>dem</t>
  </si>
  <si>
    <t>edu</t>
  </si>
  <si>
    <t>covid</t>
  </si>
  <si>
    <t>Flag</t>
  </si>
  <si>
    <t>flag</t>
  </si>
  <si>
    <t>Mean</t>
  </si>
  <si>
    <t>Median</t>
  </si>
  <si>
    <t>avg</t>
  </si>
  <si>
    <t>p50</t>
  </si>
  <si>
    <t>Pctiles</t>
  </si>
  <si>
    <t>Benefit unit</t>
  </si>
  <si>
    <t>bu</t>
  </si>
  <si>
    <t>--&gt; partnership</t>
  </si>
  <si>
    <t>couple</t>
  </si>
  <si>
    <t>dsbl</t>
  </si>
  <si>
    <t>dstrss</t>
  </si>
  <si>
    <t>---</t>
  </si>
  <si>
    <t>father</t>
  </si>
  <si>
    <t>f</t>
  </si>
  <si>
    <t>prprty</t>
  </si>
  <si>
    <t>hrs</t>
  </si>
  <si>
    <t>hrly</t>
  </si>
  <si>
    <t>m</t>
  </si>
  <si>
    <t>mental</t>
  </si>
  <si>
    <t>mother</t>
  </si>
  <si>
    <r>
      <t xml:space="preserve">1. Module name. </t>
    </r>
    <r>
      <rPr>
        <b/>
        <sz val="11"/>
        <color theme="1"/>
        <rFont val="Calibri"/>
        <family val="2"/>
        <scheme val="minor"/>
      </rPr>
      <t>Example</t>
    </r>
    <r>
      <rPr>
        <sz val="11"/>
        <color theme="1"/>
        <rFont val="Calibri"/>
        <family val="2"/>
        <scheme val="minor"/>
      </rPr>
      <t>: Income (y)</t>
    </r>
  </si>
  <si>
    <t>status</t>
  </si>
  <si>
    <t>c#</t>
  </si>
  <si>
    <t>p##</t>
  </si>
  <si>
    <t>wage</t>
  </si>
  <si>
    <t>Potential earnings</t>
  </si>
  <si>
    <t>pvrty</t>
  </si>
  <si>
    <t>share</t>
  </si>
  <si>
    <t>rgn</t>
  </si>
  <si>
    <t>sample</t>
  </si>
  <si>
    <t>rtrd</t>
  </si>
  <si>
    <t>sq</t>
  </si>
  <si>
    <t>Week</t>
  </si>
  <si>
    <t xml:space="preserve">Year </t>
  </si>
  <si>
    <t>yrly</t>
  </si>
  <si>
    <t>single</t>
  </si>
  <si>
    <t>Lag#</t>
  </si>
  <si>
    <t>l#</t>
  </si>
  <si>
    <t>Java class</t>
  </si>
  <si>
    <t>Output file name</t>
  </si>
  <si>
    <t>Transition</t>
  </si>
  <si>
    <t>trans</t>
  </si>
  <si>
    <r>
      <t xml:space="preserve">2. Main attribute (if necessary). </t>
    </r>
    <r>
      <rPr>
        <b/>
        <sz val="11"/>
        <color theme="1"/>
        <rFont val="Calibri"/>
        <family val="2"/>
        <scheme val="minor"/>
      </rPr>
      <t>Example</t>
    </r>
    <r>
      <rPr>
        <sz val="11"/>
        <color theme="1"/>
        <rFont val="Calibri"/>
        <family val="2"/>
        <scheme val="minor"/>
      </rPr>
      <t>: Employment income (Emp)</t>
    </r>
  </si>
  <si>
    <r>
      <t xml:space="preserve">4. Measurement (if applicable). </t>
    </r>
    <r>
      <rPr>
        <b/>
        <sz val="11"/>
        <color theme="1"/>
        <rFont val="Calibri"/>
        <family val="2"/>
        <scheme val="minor"/>
      </rPr>
      <t>Example</t>
    </r>
    <r>
      <rPr>
        <sz val="11"/>
        <color theme="1"/>
        <rFont val="Calibri"/>
        <family val="2"/>
        <scheme val="minor"/>
      </rPr>
      <t>: Gross/net/equivalised</t>
    </r>
  </si>
  <si>
    <t>Model version introduced</t>
  </si>
  <si>
    <t>local, temporary variables</t>
  </si>
  <si>
    <t>global, updated variables</t>
  </si>
  <si>
    <t>start with i_</t>
  </si>
  <si>
    <t>Initial population</t>
  </si>
  <si>
    <t>Statistics2.java</t>
  </si>
  <si>
    <t>Country.java</t>
  </si>
  <si>
    <t>HealthStatistics.java</t>
  </si>
  <si>
    <t>EmploymentStatistics.java</t>
  </si>
  <si>
    <t>Statistics3.java</t>
  </si>
  <si>
    <t>Statistics1.java</t>
  </si>
  <si>
    <r>
      <t xml:space="preserve">6. Statistics type (if applicable). </t>
    </r>
    <r>
      <rPr>
        <b/>
        <sz val="11"/>
        <color theme="1"/>
        <rFont val="Calibri"/>
        <family val="2"/>
        <scheme val="minor"/>
      </rPr>
      <t>Example</t>
    </r>
    <r>
      <rPr>
        <sz val="11"/>
        <color theme="1"/>
        <rFont val="Calibri"/>
        <family val="2"/>
        <scheme val="minor"/>
      </rPr>
      <t>: Median/mean</t>
    </r>
  </si>
  <si>
    <r>
      <t xml:space="preserve">7. Periodicity (if applicable). </t>
    </r>
    <r>
      <rPr>
        <b/>
        <sz val="11"/>
        <color theme="1"/>
        <rFont val="Calibri"/>
        <family val="2"/>
        <scheme val="minor"/>
      </rPr>
      <t>Example</t>
    </r>
    <r>
      <rPr>
        <sz val="11"/>
        <color theme="1"/>
        <rFont val="Calibri"/>
        <family val="2"/>
        <scheme val="minor"/>
      </rPr>
      <t>: Yearly/monthly</t>
    </r>
  </si>
  <si>
    <t>Main attribute</t>
  </si>
  <si>
    <t>Level</t>
  </si>
  <si>
    <t>Measurement</t>
  </si>
  <si>
    <t>Other info</t>
  </si>
  <si>
    <t>Statistics type</t>
  </si>
  <si>
    <t>Periodicity</t>
  </si>
  <si>
    <t>Mod</t>
  </si>
  <si>
    <t>ToLeisure</t>
  </si>
  <si>
    <t>Ratio</t>
  </si>
  <si>
    <t>Disp</t>
  </si>
  <si>
    <t>18to29</t>
  </si>
  <si>
    <t>30to54</t>
  </si>
  <si>
    <t>55to74</t>
  </si>
  <si>
    <t>Share</t>
  </si>
  <si>
    <t>ratio</t>
  </si>
  <si>
    <t>18to54</t>
  </si>
  <si>
    <t>NoWork</t>
  </si>
  <si>
    <t>Avg</t>
  </si>
  <si>
    <t>AdultChild</t>
  </si>
  <si>
    <t>AgeGroup</t>
  </si>
  <si>
    <t>Hrs</t>
  </si>
  <si>
    <t>Provided</t>
  </si>
  <si>
    <t>Pvrty</t>
  </si>
  <si>
    <t>L1</t>
  </si>
  <si>
    <t>Nchild</t>
  </si>
  <si>
    <t>WorkFullTime</t>
  </si>
  <si>
    <t>WorkPartTime</t>
  </si>
  <si>
    <t>Ben</t>
  </si>
  <si>
    <t>Amount</t>
  </si>
  <si>
    <t>Month</t>
  </si>
  <si>
    <t>BornInSim</t>
  </si>
  <si>
    <t>Care</t>
  </si>
  <si>
    <t>Formal</t>
  </si>
  <si>
    <t>FromDaughter</t>
  </si>
  <si>
    <t>FromOther</t>
  </si>
  <si>
    <t>FromParent</t>
  </si>
  <si>
    <t>FromPartner</t>
  </si>
  <si>
    <t>FromSon</t>
  </si>
  <si>
    <t>Who</t>
  </si>
  <si>
    <t>ChildCare</t>
  </si>
  <si>
    <t>Cloned</t>
  </si>
  <si>
    <t>F</t>
  </si>
  <si>
    <t>M</t>
  </si>
  <si>
    <t>YLab</t>
  </si>
  <si>
    <t>Xt5</t>
  </si>
  <si>
    <t>CreatedByConstructor</t>
  </si>
  <si>
    <t>Diff</t>
  </si>
  <si>
    <t>Partner</t>
  </si>
  <si>
    <t>Sq</t>
  </si>
  <si>
    <t>Enter</t>
  </si>
  <si>
    <t>Exit</t>
  </si>
  <si>
    <t>L2</t>
  </si>
  <si>
    <t>Local</t>
  </si>
  <si>
    <t>NYear</t>
  </si>
  <si>
    <t>Spell</t>
  </si>
  <si>
    <t>Highest</t>
  </si>
  <si>
    <t>Return</t>
  </si>
  <si>
    <t>DiffDesired</t>
  </si>
  <si>
    <t>Wage</t>
  </si>
  <si>
    <t>Desired</t>
  </si>
  <si>
    <t>Sex</t>
  </si>
  <si>
    <t>SelfRated</t>
  </si>
  <si>
    <t>C3</t>
  </si>
  <si>
    <t>Mental</t>
  </si>
  <si>
    <t>Mcs</t>
  </si>
  <si>
    <t>P50</t>
  </si>
  <si>
    <t>P10</t>
  </si>
  <si>
    <t>P25</t>
  </si>
  <si>
    <t>P75</t>
  </si>
  <si>
    <t>P90</t>
  </si>
  <si>
    <t>Physical</t>
  </si>
  <si>
    <t>Pcs</t>
  </si>
  <si>
    <t>Prpty</t>
  </si>
  <si>
    <t>Composition</t>
  </si>
  <si>
    <t>comp</t>
  </si>
  <si>
    <t>Comp</t>
  </si>
  <si>
    <t>Hh</t>
  </si>
  <si>
    <t>C4</t>
  </si>
  <si>
    <t>C5</t>
  </si>
  <si>
    <t>C6</t>
  </si>
  <si>
    <t>C7</t>
  </si>
  <si>
    <t>Cross</t>
  </si>
  <si>
    <t>Wb</t>
  </si>
  <si>
    <t>Score</t>
  </si>
  <si>
    <t>0to36</t>
  </si>
  <si>
    <t>PsyDstrss</t>
  </si>
  <si>
    <t>Long</t>
  </si>
  <si>
    <t>MainSurvey</t>
  </si>
  <si>
    <t>SelfCompletion</t>
  </si>
  <si>
    <t>Discretionary</t>
  </si>
  <si>
    <t>GrossOfLosses</t>
  </si>
  <si>
    <t>55to75</t>
  </si>
  <si>
    <t>Parent</t>
  </si>
  <si>
    <t>Dsbl</t>
  </si>
  <si>
    <t>Longterm</t>
  </si>
  <si>
    <t>Rtrd</t>
  </si>
  <si>
    <t>LifeSat</t>
  </si>
  <si>
    <t>Satisfaction</t>
  </si>
  <si>
    <t>sat</t>
  </si>
  <si>
    <t>1to7</t>
  </si>
  <si>
    <t>Pred</t>
  </si>
  <si>
    <t>NChild</t>
  </si>
  <si>
    <t>0to2</t>
  </si>
  <si>
    <t>Ethn</t>
  </si>
  <si>
    <t>Rgn</t>
  </si>
  <si>
    <t>Received</t>
  </si>
  <si>
    <t>SEISS</t>
  </si>
  <si>
    <t>NonUC</t>
  </si>
  <si>
    <t>UC</t>
  </si>
  <si>
    <t>Equiv</t>
  </si>
  <si>
    <t>DispEquiv</t>
  </si>
  <si>
    <t>YearL1</t>
  </si>
  <si>
    <t>Fert</t>
  </si>
  <si>
    <t>Adj</t>
  </si>
  <si>
    <t>Rate</t>
  </si>
  <si>
    <t>Sim</t>
  </si>
  <si>
    <t>Target</t>
  </si>
  <si>
    <t>FinDstrss</t>
  </si>
  <si>
    <t>FullTime</t>
  </si>
  <si>
    <t>Hrly</t>
  </si>
  <si>
    <t>Y</t>
  </si>
  <si>
    <t>Nat</t>
  </si>
  <si>
    <t>Gini</t>
  </si>
  <si>
    <t>National</t>
  </si>
  <si>
    <t>nat</t>
  </si>
  <si>
    <t>MktNat</t>
  </si>
  <si>
    <t>Market</t>
  </si>
  <si>
    <t>mkt</t>
  </si>
  <si>
    <t>Lab</t>
  </si>
  <si>
    <t>P20</t>
  </si>
  <si>
    <t>P40</t>
  </si>
  <si>
    <t>P60</t>
  </si>
  <si>
    <t>P80</t>
  </si>
  <si>
    <t>EQ5D</t>
  </si>
  <si>
    <t>HrsWork</t>
  </si>
  <si>
    <t>Value</t>
  </si>
  <si>
    <t>Bu</t>
  </si>
  <si>
    <t>EmpStatistics1</t>
  </si>
  <si>
    <t>HealthStatistics1</t>
  </si>
  <si>
    <t>Pers</t>
  </si>
  <si>
    <t>Statistics1</t>
  </si>
  <si>
    <t>Statistics21</t>
  </si>
  <si>
    <t>Statistics31</t>
  </si>
  <si>
    <t>Original</t>
  </si>
  <si>
    <t>4to12</t>
  </si>
  <si>
    <t>Max</t>
  </si>
  <si>
    <t>Min</t>
  </si>
  <si>
    <t>InverseMillsRatio</t>
  </si>
  <si>
    <t>Invest</t>
  </si>
  <si>
    <t>Loss</t>
  </si>
  <si>
    <t>Io</t>
  </si>
  <si>
    <t>HrlyL1</t>
  </si>
  <si>
    <t>Leave</t>
  </si>
  <si>
    <t>Left</t>
  </si>
  <si>
    <t>Edu</t>
  </si>
  <si>
    <t>CovidL1</t>
  </si>
  <si>
    <t>PartnerAndOwn</t>
  </si>
  <si>
    <t>Liq</t>
  </si>
  <si>
    <t>WorkHist</t>
  </si>
  <si>
    <t>History</t>
  </si>
  <si>
    <t>hist</t>
  </si>
  <si>
    <t>WageOffer</t>
  </si>
  <si>
    <t>Low</t>
  </si>
  <si>
    <t>Need</t>
  </si>
  <si>
    <t>New</t>
  </si>
  <si>
    <t>Occupancy</t>
  </si>
  <si>
    <t>Pens</t>
  </si>
  <si>
    <t>Pop</t>
  </si>
  <si>
    <t>Married</t>
  </si>
  <si>
    <t>Emp</t>
  </si>
  <si>
    <t>Unemp</t>
  </si>
  <si>
    <t>Legacy</t>
  </si>
  <si>
    <t>0to12</t>
  </si>
  <si>
    <t>Range</t>
  </si>
  <si>
    <t>SameSex</t>
  </si>
  <si>
    <t>taxDb</t>
  </si>
  <si>
    <t>Donor</t>
  </si>
  <si>
    <t>GiveBirth</t>
  </si>
  <si>
    <t>LeaveSchool</t>
  </si>
  <si>
    <t>BePartner</t>
  </si>
  <si>
    <t>Util</t>
  </si>
  <si>
    <t>SingleF</t>
  </si>
  <si>
    <t>SingleM</t>
  </si>
  <si>
    <t>WageRegress</t>
  </si>
  <si>
    <t>RandomCompoponentEmp</t>
  </si>
  <si>
    <t>RandomCompoponentNotEmp</t>
  </si>
  <si>
    <t>C5P20</t>
  </si>
  <si>
    <t>C5P40</t>
  </si>
  <si>
    <t>C5P80</t>
  </si>
  <si>
    <t>PersAndPartner</t>
  </si>
  <si>
    <t>NonBen</t>
  </si>
  <si>
    <t>Capital</t>
  </si>
  <si>
    <t>Misc</t>
  </si>
  <si>
    <t>Entry to sample via 
InputData
ProcessedInputData 
Birth
BirthAlignment
Immigration
ImmigrationAlignment</t>
  </si>
  <si>
    <t>0. Local/temporary variables: i_</t>
  </si>
  <si>
    <t>i_</t>
  </si>
  <si>
    <t>0to17</t>
  </si>
  <si>
    <t>Week/Weekly</t>
  </si>
  <si>
    <t>week</t>
  </si>
  <si>
    <t>WeekL1</t>
  </si>
  <si>
    <t>Gini of the equivalised household disposable national income</t>
  </si>
  <si>
    <t>Gini of the markey national income</t>
  </si>
  <si>
    <t>Percentile (20) of ydses_c5</t>
  </si>
  <si>
    <t>Percentile (40) of ydses_c5</t>
  </si>
  <si>
    <t>Percentile (60) of ydses_c5</t>
  </si>
  <si>
    <t>Percentile (80) of ydses_c5</t>
  </si>
  <si>
    <t>Run</t>
  </si>
  <si>
    <t>Person object originates as clone of another Person object</t>
  </si>
  <si>
    <t>Gross labour quintile in simulation baseline</t>
  </si>
  <si>
    <t>Original name UK  (UKHLS)</t>
  </si>
  <si>
    <t xml:space="preserve">Do-file UK </t>
  </si>
  <si>
    <t>Original name EU  (EU-SILC)</t>
  </si>
  <si>
    <t>Do-file EU</t>
  </si>
  <si>
    <t>02_00_create_variables_**.do</t>
  </si>
  <si>
    <t>pb100</t>
  </si>
  <si>
    <t xml:space="preserve">uhid </t>
  </si>
  <si>
    <t>upid</t>
  </si>
  <si>
    <t>rb090</t>
  </si>
  <si>
    <t xml:space="preserve">db040 </t>
  </si>
  <si>
    <t>dgnsp</t>
  </si>
  <si>
    <t>rb080; rx010; pb110</t>
  </si>
  <si>
    <t>rb220; urtgrp</t>
  </si>
  <si>
    <t>rb230; urtgrp</t>
  </si>
  <si>
    <t>rb240; urtgrp</t>
  </si>
  <si>
    <t>ph010</t>
  </si>
  <si>
    <t>pe040; pe041</t>
  </si>
  <si>
    <t>dag (rb080, rx010, pb110); idpartner (rb240, urtgrp)</t>
  </si>
  <si>
    <t>idpartner (rb240, urtgrp)</t>
  </si>
  <si>
    <t>dcpst (idpartner (rb240, urtgrp))</t>
  </si>
  <si>
    <t>new_rel</t>
  </si>
  <si>
    <t>dag(rb080; rx010; pb110)</t>
  </si>
  <si>
    <t>pl030; pl031; pl032; rb210; rb211</t>
  </si>
  <si>
    <t>pl060</t>
  </si>
  <si>
    <t>pl030; pl031; pl032</t>
  </si>
  <si>
    <t>l1_les_c3</t>
  </si>
  <si>
    <t>l1_les_c4</t>
  </si>
  <si>
    <t>les_c3 (pl030; pl031; pl032; rb210; rb211); idpartner(rb2420; urtgrp)</t>
  </si>
  <si>
    <t>les_c3 (pl030; pl031; pl032; rb210; rb211); lessp_c3 (idpartner(rb2420; urtgrp))</t>
  </si>
  <si>
    <t xml:space="preserve">liwwh </t>
  </si>
  <si>
    <t>ded (pe040; pe041); les_c3 (pl030; pl031; pl032; rb210; rb211)</t>
  </si>
  <si>
    <t>idfather (rb220; urtgrp); idmother (rb230; urtgrp) ; dag (rb080; rx010; pb110)</t>
  </si>
  <si>
    <t>dlltsd_sp</t>
  </si>
  <si>
    <t>les_c4 (pl030; pl031; pl032; rb210; rb211)</t>
  </si>
  <si>
    <t>dlrtrd (les_c4 (pl030; pl031; pl032; rb210; rb211))</t>
  </si>
  <si>
    <t>dagpns</t>
  </si>
  <si>
    <t>dagpns_y</t>
  </si>
  <si>
    <t>dagpns_y1</t>
  </si>
  <si>
    <t>dagpns_sp</t>
  </si>
  <si>
    <t>dagpns_y_sp</t>
  </si>
  <si>
    <t>dagpns_y1_sp</t>
  </si>
  <si>
    <t>les_c3 (pl030; pl031; pl032; rb210; rb211)</t>
  </si>
  <si>
    <t>idpartner (rb240; urtgrp); dgn (rb090); dgnsp</t>
  </si>
  <si>
    <t>dag (rb080; rx010; pb110); dgn (rb090)</t>
  </si>
  <si>
    <t>dchpd</t>
  </si>
  <si>
    <t>dag (rb080; rx010; pb110)</t>
  </si>
  <si>
    <t xml:space="preserve">* </t>
  </si>
  <si>
    <t xml:space="preserve">idmother (rb230; urtgrp);  idfather (rb220; urtgrp); dag (rb080; rx010; pb110); les_c4 (pl030; pl031; pl032; rb210; rb211) </t>
  </si>
  <si>
    <t>adultchildfag (idmother (rb230; urtgrp);  idfather (rb220; urtgrp); dag (rb080; rx010; pb110); les_c4 (pl030; pl031; pl032; rb210; rb211))</t>
  </si>
  <si>
    <t>dcpst (idpartner (rb240, urtgrp)); dnc (idfather (rb220; urtgrp); idmother (rb230; urtgrp) ; dag (rb080; rx010; pb110))</t>
  </si>
  <si>
    <t>dhhtp_c8</t>
  </si>
  <si>
    <t>hy040g_pc hy090g_pc</t>
  </si>
  <si>
    <t xml:space="preserve">py010g; py050g; py080g; hy080g; hy110g </t>
  </si>
  <si>
    <t>hy080g; hy110g; hy040g; hy090g</t>
  </si>
  <si>
    <t>py080g; hy080g; hy110g; hy040g; hy090g</t>
  </si>
  <si>
    <t>py010g; py050g</t>
  </si>
  <si>
    <t>ypncp (hy080g; hy110g; hy040g; hy090g); idpartner (rb240; urtgrp)</t>
  </si>
  <si>
    <t>py080g</t>
  </si>
  <si>
    <t xml:space="preserve">hh021 </t>
  </si>
  <si>
    <t xml:space="preserve">py010g; py050g; wrk_a-wrk_l; les_c3 (pl030; pl031; pl032; rb210; rb211); lhw (pl060); </t>
  </si>
  <si>
    <t xml:space="preserve">dag (rb080; rx010; pb110), les_c3 (pl030; pl031; pl032; rb210; rb211) </t>
  </si>
  <si>
    <t>dag (age_dv); ded (dag (rb080; rx010; pb110), les_c3 (pl030; pl031; pl032; rb210; rb211) )</t>
  </si>
  <si>
    <t>dag (rb080; rx010; pb110); ded (dag (rb080; rx010; pb110), les_c3 (pl030; pl031; pl032; rb210; rb211));  les_c4  (pl030; pl031; pl032; rb210; rb211)</t>
  </si>
  <si>
    <t xml:space="preserve">sedcmpl (dag (rb080; rx010; pb110); ded (dag (rb080; rx010; pb110), les_c3 (pl030; pl031; pl032; rb210; rb211));  les_c4  (pl030; pl031; pl032; rb210; rb211) ; dag (rb080; rx010; pb110); ded (dag (rb080; rx010; pb110), les_c4 (pl030; pl031; pl032; rb210; rb211)); </t>
  </si>
  <si>
    <t>dag (rb080; rx010; pb110); ded (dag (rb080; rx010; pb110), les_c4 (pl030; pl031; pl032; rb210; rb211))</t>
  </si>
  <si>
    <t>rb060; db075</t>
  </si>
  <si>
    <t>dimxwt (rb060; db075)</t>
  </si>
  <si>
    <t>dimxwt (rb060; db075); idhh (uhid )</t>
  </si>
  <si>
    <t>rb062</t>
  </si>
  <si>
    <t>l1_obs_earnings_hourly</t>
  </si>
  <si>
    <t xml:space="preserve">SimPaths Codebook </t>
  </si>
  <si>
    <t xml:space="preserve">Date: </t>
  </si>
  <si>
    <t xml:space="preserve">Authors: </t>
  </si>
  <si>
    <t xml:space="preserve">Overview: </t>
  </si>
  <si>
    <t>David Sonnewald, Ashley Burdett</t>
  </si>
  <si>
    <t>dgn (rb090); idpartner (rb240; urtgrp)</t>
  </si>
  <si>
    <t>idpartner (rb240; urtgrp)</t>
  </si>
  <si>
    <t>Student</t>
  </si>
  <si>
    <t xml:space="preserve">Partnership in first year </t>
  </si>
  <si>
    <t>studentflag</t>
  </si>
  <si>
    <t>Lag(1) of les_c3</t>
  </si>
  <si>
    <t>Nyear</t>
  </si>
  <si>
    <t>Years of employment experience</t>
  </si>
  <si>
    <t>pl200</t>
  </si>
  <si>
    <t xml:space="preserve">Key: </t>
  </si>
  <si>
    <t>**</t>
  </si>
  <si>
    <t xml:space="preserve">Replace with two letter country code for European model </t>
  </si>
  <si>
    <t xml:space="preserve">AB: UK initial populations information to be populated. </t>
  </si>
  <si>
    <t>Student
 0 No
 1 Yes</t>
  </si>
  <si>
    <t>Spouse Long-term sick or disabled
 0 No
 1 Yes</t>
  </si>
  <si>
    <t>dlltsd(pl030; pl031; pl032); idpartner (rb240; urtgrp)</t>
  </si>
  <si>
    <t>Individual of state pension age
 0 No
 1 Yes</t>
  </si>
  <si>
    <t>Year individual reaches the state pension age
 0 No
 1 Yes</t>
  </si>
  <si>
    <t>Lag(1) of dagpns_y</t>
  </si>
  <si>
    <t>dgn (rb090); dag (rb080; rx010; pb110); stm (pb100)</t>
  </si>
  <si>
    <t>Partner of state pension age
 0 No
 1 Yes</t>
  </si>
  <si>
    <t>Year partner reaches the state pension age
 0 No
 1 Yes</t>
  </si>
  <si>
    <t>Lag(1) of dagpns_y_sp</t>
  </si>
  <si>
    <t>dgn (rb090); dag (rb080; rx010; pb110); stm (pb100); idpartner (rb240; urtgrp)</t>
  </si>
  <si>
    <t xml:space="preserve">Number of dependent children born in the last year  </t>
  </si>
  <si>
    <t>dag (rb080; rx010; pb110); idmother (rb230; urtgrp); dgn (rb090)</t>
  </si>
  <si>
    <t>C8</t>
  </si>
  <si>
    <t>Household Composition
 1 Couple with No Children, spouse employed
 2 Couple with No Children, spouse student 
 3 Couple with No Children, spouse not employed 
 4 Couple with Children, spouse employed
 5 Couple with Children, spouse student 
 2 Couple with Children, spouse not employed 
 3 Single with No Children
 4 Single with Children</t>
  </si>
  <si>
    <t>dhhtp_c4 (dcpst (idpartner (rb240, urtgrp)); dnc (idfather (rb220; urtgrp); idmother (rb230; urtgrp) ; dag (rb080; rx010; pb110))); les_c3 (pl030; pl031; pl032; rb210; rb211); idpartner (rb240; urtgrp)</t>
  </si>
  <si>
    <t>py010g; py050g; py080g; hy080g; hy110g; hy040g; hy090g;</t>
  </si>
  <si>
    <t>Male</t>
  </si>
  <si>
    <t>03_create_benefit_units_PL_**.do</t>
  </si>
  <si>
    <t>05_drop_hhold_and_slice_**</t>
  </si>
  <si>
    <t>**_pop; surv_pop</t>
  </si>
  <si>
    <t>pl030; pl031; pl032; idperson (upid)</t>
  </si>
  <si>
    <t>pe040; pe041; idpartner (rb240, urtgrp)</t>
  </si>
  <si>
    <t>ph010, idpartner (rb240, urtgrp)</t>
  </si>
  <si>
    <t>04_reweight_**</t>
  </si>
  <si>
    <t>dwt (rb060; db075)</t>
  </si>
  <si>
    <t>obs_earnings_hourly</t>
  </si>
  <si>
    <t xml:space="preserve">Observed hourly wage </t>
  </si>
  <si>
    <t xml:space="preserve">Country Specific Variables </t>
  </si>
  <si>
    <t xml:space="preserve">UK </t>
  </si>
  <si>
    <t>PL</t>
  </si>
  <si>
    <t>IT</t>
  </si>
  <si>
    <t>HU</t>
  </si>
  <si>
    <t>EL</t>
  </si>
  <si>
    <t>drgn / demRegion</t>
  </si>
  <si>
    <t>See "Country Specific Vars" sheet</t>
  </si>
  <si>
    <t xml:space="preserve">Region: NUTS 1 
3 "Northwest" 
6 "South" 
7  "Islands"
8 "Northeast" 
9 "Central" </t>
  </si>
  <si>
    <t>Region: NUTS 1
2 "Poludniowy"
4 "Polnocno-Zachodni"
5 "Poludniowo-Zachodni"
6 "Polnocy"
10 "Central and East"</t>
  </si>
  <si>
    <t>Region: NUTS1
1 "Central Hungary"
2 "Transdanubia"
3 "Great Plain and North "</t>
  </si>
  <si>
    <t>Region: NUTS1
3 "Attica"
4 "Aegean Islands"
7 "Central and Northern Greece"</t>
  </si>
  <si>
    <t>This codebook accompanies the SimPaths microsimulation model, documenting the variables used within and produced by the model. It applies to both the UK and EU variants of SimPaths.</t>
  </si>
  <si>
    <t xml:space="preserve"> The codebook provdes definitions of each variable, specififes where each variables is created in the code and idenitifies the output file in which it can be found. Where applicable, the codebook </t>
  </si>
  <si>
    <t xml:space="preserve">also lists the corresponding variables from the underlying survey datasets used to construct each variable. </t>
  </si>
  <si>
    <t>Potenitally add a line descibing the contents of each tab?</t>
  </si>
  <si>
    <t>Observed hourly earnings</t>
  </si>
  <si>
    <t>dagmother; dagfather; dag; age_become_responsible; idpartner</t>
  </si>
  <si>
    <t>Capital income (inverse hyperbolic sine)</t>
  </si>
  <si>
    <t>MonthL1</t>
  </si>
  <si>
    <t>MonthL2</t>
  </si>
  <si>
    <t>Gross personal private pension income (inverse hyperbolic sine)</t>
  </si>
  <si>
    <t>Gross personal non-employment, non-benefit income
(inverse hyperbolic sine)</t>
  </si>
  <si>
    <t>MonthL3</t>
  </si>
  <si>
    <t>Gross personal non-benefit income (inverse hyperbolic sine)</t>
  </si>
  <si>
    <t>Gross personal employment income (Inverse hyperbolic sine)</t>
  </si>
  <si>
    <t>Difference between own and spouse's gross personal non-benefit income (inverse hyperbolic sine)</t>
  </si>
  <si>
    <t>MonthC5</t>
  </si>
  <si>
    <t xml:space="preserve">Variable indicates which constructor used to generate object </t>
  </si>
  <si>
    <t>Whether owner/occupier or renter - used to evaluate regression models</t>
  </si>
  <si>
    <t>Score of regression equation used to project values (females)</t>
  </si>
  <si>
    <t>Score of regression equation used to project values (males)</t>
  </si>
  <si>
    <t>Target age difference between prospective spouses</t>
  </si>
  <si>
    <t>Target difference between earnings potentials of prospective partners</t>
  </si>
  <si>
    <t>Align</t>
  </si>
  <si>
    <t>Alignment</t>
  </si>
  <si>
    <t>align</t>
  </si>
  <si>
    <t>Intermediate variable used for alignment of cohabitation process</t>
  </si>
  <si>
    <t>Process</t>
  </si>
  <si>
    <t>Labour hours per week of first adult in benefit unit, used to evaluation regression models</t>
  </si>
  <si>
    <t>Labour hours per week of second adult in benefit unit, used to evaluation regression models</t>
  </si>
  <si>
    <t>PopSurvey</t>
  </si>
  <si>
    <t>Flag indicating that individual is in pool to gain a partner</t>
  </si>
  <si>
    <t>Flag indicating that individual is in pool to give birth</t>
  </si>
  <si>
    <t>Flag indicating that individual is in pool to leave full-time education</t>
  </si>
  <si>
    <t>Object that manages all the pseudo-random shocks or uncertainty factors assigned by the Innovation class</t>
  </si>
  <si>
    <t>Innovations</t>
  </si>
  <si>
    <t>Interview</t>
  </si>
  <si>
    <t>CollectionWave</t>
  </si>
  <si>
    <t>Number of observations in category (whole population or subgroup)</t>
  </si>
  <si>
    <t>NObs</t>
  </si>
  <si>
    <t>SubGroup</t>
  </si>
  <si>
    <t>Observation(s)</t>
  </si>
  <si>
    <t>obs</t>
  </si>
  <si>
    <t>Quality-adjusted life years - summed across population</t>
  </si>
  <si>
    <t>LifeYear</t>
  </si>
  <si>
    <t>Quality</t>
  </si>
  <si>
    <t>qual</t>
  </si>
  <si>
    <t>QualAdj</t>
  </si>
  <si>
    <t>Wellbeing-adjusted life years - summed across population</t>
  </si>
  <si>
    <t>WbAdj</t>
  </si>
  <si>
    <t>Difference in log equivalised disposable income from previous year</t>
  </si>
  <si>
    <t>Previous</t>
  </si>
  <si>
    <t>prev</t>
  </si>
  <si>
    <t>PrevYear</t>
  </si>
  <si>
    <t>Technical artefact of previous usage</t>
  </si>
  <si>
    <t>Asinh</t>
  </si>
  <si>
    <t>Inverse hyperbolic sine transformation of household non-benefit income</t>
  </si>
  <si>
    <t>It persists a 'consistent' value to reduce churn, which can be recalled with probability of persistanceProbability or overridden with new labour innovation value</t>
  </si>
  <si>
    <t>PersistValue</t>
  </si>
  <si>
    <t>LabourInnov</t>
  </si>
  <si>
    <t>States</t>
  </si>
  <si>
    <t>ContObject</t>
  </si>
  <si>
    <t>Object describes the database match used to impute tax and benefit payments</t>
  </si>
  <si>
    <t>Container object used in labour supply and discretionary consumption</t>
  </si>
  <si>
    <t>Db</t>
  </si>
  <si>
    <t>Match</t>
  </si>
  <si>
    <t>Tax</t>
  </si>
  <si>
    <t>fimnnet_dv</t>
  </si>
  <si>
    <t>total_pensions</t>
  </si>
  <si>
    <t>tot_peni</t>
  </si>
  <si>
    <t>Value of all private (personal and occupational) pensions of benefit unit</t>
  </si>
  <si>
    <t>See Initial Population: total_pensions</t>
  </si>
  <si>
    <t>total_wealth</t>
  </si>
  <si>
    <t>Tot</t>
  </si>
  <si>
    <t>Total wealth net of liabilities of benefit unit including housing, business and private (personal and occupational) pensions</t>
  </si>
  <si>
    <t>housing_wealth</t>
  </si>
  <si>
    <t>Value of main home gross of mortgage debt of benefit unit</t>
  </si>
  <si>
    <t>housingi</t>
  </si>
  <si>
    <t>See Initial Population: housing_wealth</t>
  </si>
  <si>
    <t>mortgage_debt</t>
  </si>
  <si>
    <t>MortgageDebt</t>
  </si>
  <si>
    <t>Total mortgage debt owed on main home of benefit unit</t>
  </si>
  <si>
    <t>mortgagei</t>
  </si>
  <si>
    <t>Subjective wellbeing (GHQ): Caseness 
score within 0-12, double type variable</t>
  </si>
  <si>
    <t>disp_inc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</si>
</sst>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sz val="11"/>
      <color rgb="FF000000"/>
      <name val="Calibri"/>
      <family val="2"/>
      <scheme val="minor"/>
    </font>
    <font>
      <b/>
      <sz val="9"/>
      <color rgb="FF000000"/>
      <name val="Tahoma"/>
      <family val="2"/>
    </font>
    <font>
      <sz val="9"/>
      <color rgb="FF000000"/>
      <name val="Tahoma"/>
      <family val="2"/>
    </font>
    <font>
      <u/>
      <sz val="11"/>
      <color theme="10"/>
      <name val="Calibri"/>
      <family val="2"/>
      <scheme val="minor"/>
    </font>
    <font>
      <sz val="8"/>
      <name val="Calibri"/>
      <family val="2"/>
      <scheme val="minor"/>
    </font>
    <font>
      <b/>
      <sz val="20"/>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3">
    <xf numFmtId="0" fontId="0" fillId="0" borderId="0"/>
    <xf numFmtId="0" fontId="2" fillId="0" borderId="0"/>
    <xf numFmtId="0" fontId="8" fillId="0" borderId="0" applyNumberFormat="0" applyFill="0" applyBorder="0" applyAlignment="0" applyProtection="0"/>
  </cellStyleXfs>
  <cellXfs count="27">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8" fillId="0" borderId="0" xfId="2" applyAlignment="1">
      <alignment horizontal="left" vertical="center" wrapText="1"/>
    </xf>
    <xf numFmtId="0" fontId="5" fillId="0" borderId="0" xfId="0" applyFont="1" applyAlignment="1">
      <alignment vertical="center"/>
    </xf>
    <xf numFmtId="0" fontId="8" fillId="0" borderId="0" xfId="2" applyFill="1" applyAlignment="1">
      <alignment horizontal="left" vertical="center" wrapText="1"/>
    </xf>
    <xf numFmtId="0" fontId="0" fillId="0" borderId="0" xfId="0" applyAlignment="1">
      <alignment vertical="center"/>
    </xf>
    <xf numFmtId="0" fontId="1" fillId="0" borderId="0" xfId="0" applyFont="1"/>
    <xf numFmtId="0" fontId="0" fillId="0" borderId="0" xfId="0" quotePrefix="1"/>
    <xf numFmtId="0" fontId="0" fillId="0" borderId="0" xfId="0" applyAlignment="1">
      <alignment wrapText="1"/>
    </xf>
    <xf numFmtId="0" fontId="10" fillId="0" borderId="0" xfId="0" applyFont="1"/>
    <xf numFmtId="0" fontId="0" fillId="2" borderId="0" xfId="0" applyFill="1"/>
    <xf numFmtId="0" fontId="0" fillId="0" borderId="0" xfId="0" applyAlignment="1">
      <alignment vertical="top"/>
    </xf>
    <xf numFmtId="0" fontId="1" fillId="0" borderId="0" xfId="0" applyFont="1" applyAlignment="1">
      <alignment vertical="top"/>
    </xf>
    <xf numFmtId="14" fontId="0" fillId="0" borderId="0" xfId="0" applyNumberFormat="1" applyAlignment="1">
      <alignment horizontal="left"/>
    </xf>
    <xf numFmtId="0" fontId="11" fillId="3" borderId="0" xfId="0" applyFont="1" applyFill="1"/>
    <xf numFmtId="0" fontId="1" fillId="0" borderId="0" xfId="0" applyFont="1" applyAlignment="1">
      <alignment vertical="center"/>
    </xf>
    <xf numFmtId="0" fontId="0" fillId="0" borderId="0" xfId="0" applyAlignment="1">
      <alignment vertical="center" wrapText="1"/>
    </xf>
    <xf numFmtId="0" fontId="0" fillId="4" borderId="0" xfId="0" applyFill="1" applyAlignment="1">
      <alignment horizontal="left" vertical="center" wrapText="1"/>
    </xf>
    <xf numFmtId="0" fontId="0" fillId="4" borderId="0" xfId="0" applyFill="1" applyAlignment="1">
      <alignment vertical="center"/>
    </xf>
    <xf numFmtId="0" fontId="0" fillId="4" borderId="0" xfId="0" applyFill="1" applyAlignment="1">
      <alignment horizontal="left" vertical="center"/>
    </xf>
    <xf numFmtId="0" fontId="0" fillId="5" borderId="0" xfId="0" applyFill="1" applyAlignment="1">
      <alignment horizontal="left" vertical="center" wrapText="1"/>
    </xf>
    <xf numFmtId="0" fontId="5" fillId="4" borderId="0" xfId="0" applyFont="1" applyFill="1" applyAlignment="1">
      <alignment horizontal="left" vertical="center" wrapText="1"/>
    </xf>
  </cellXfs>
  <cellStyles count="3">
    <cellStyle name="Hyperlink" xfId="2" builtinId="8"/>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vid Sonnewald" id="{E7E4C08A-36A3-F548-9A76-6F4AFF2D7FB2}" userId="S::david.sonnewald@uclouvain.be::413f5b62-46e4-44dd-bfff-061f8a37f3b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 dT="2025-11-17T15:20:46.04" personId="{E7E4C08A-36A3-F548-9A76-6F4AFF2D7FB2}" id="{50EE3AB4-B0A8-BA47-9E21-25C5EDA1C008}">
    <text>'Initial Populations' means that the variable is in the initial populations, but it is not further used in the Java code.</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understandingsociety.ac.uk/documentation/mainstage/variables/ppno/" TargetMode="External"/><Relationship Id="rId7" Type="http://schemas.microsoft.com/office/2017/10/relationships/threadedComment" Target="../threadedComments/threadedComment1.xml"/><Relationship Id="rId2" Type="http://schemas.openxmlformats.org/officeDocument/2006/relationships/hyperlink" Target="https://www.understandingsociety.ac.uk/documentation/mainstage/variables/pno/" TargetMode="External"/><Relationship Id="rId1" Type="http://schemas.openxmlformats.org/officeDocument/2006/relationships/hyperlink" Target="https://www.understandingsociety.ac.uk/documentation/mainstage/variables/jbsta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8897-C280-384F-8B0D-BC58C2EC0E6E}">
  <dimension ref="B2:D25"/>
  <sheetViews>
    <sheetView showGridLines="0" zoomScale="120" zoomScaleNormal="120" workbookViewId="0">
      <selection activeCell="H21" sqref="H21"/>
    </sheetView>
  </sheetViews>
  <sheetFormatPr baseColWidth="10" defaultColWidth="11.5" defaultRowHeight="15" x14ac:dyDescent="0.2"/>
  <cols>
    <col min="3" max="3" width="11.1640625" customWidth="1"/>
  </cols>
  <sheetData>
    <row r="2" spans="2:4" ht="26" x14ac:dyDescent="0.3">
      <c r="B2" s="14" t="s">
        <v>1319</v>
      </c>
    </row>
    <row r="4" spans="2:4" x14ac:dyDescent="0.2">
      <c r="B4" s="11" t="s">
        <v>1320</v>
      </c>
      <c r="C4" s="18">
        <v>45974</v>
      </c>
    </row>
    <row r="5" spans="2:4" x14ac:dyDescent="0.2">
      <c r="B5" s="11" t="s">
        <v>1321</v>
      </c>
      <c r="C5" t="s">
        <v>1323</v>
      </c>
    </row>
    <row r="7" spans="2:4" x14ac:dyDescent="0.2">
      <c r="B7" s="17" t="s">
        <v>1322</v>
      </c>
      <c r="C7" t="s">
        <v>1377</v>
      </c>
    </row>
    <row r="8" spans="2:4" x14ac:dyDescent="0.2">
      <c r="C8" t="s">
        <v>1378</v>
      </c>
    </row>
    <row r="9" spans="2:4" x14ac:dyDescent="0.2">
      <c r="C9" t="s">
        <v>1379</v>
      </c>
    </row>
    <row r="11" spans="2:4" x14ac:dyDescent="0.2">
      <c r="C11" s="19" t="s">
        <v>1380</v>
      </c>
    </row>
    <row r="14" spans="2:4" x14ac:dyDescent="0.2">
      <c r="B14" s="11" t="s">
        <v>1333</v>
      </c>
      <c r="C14" t="s">
        <v>1334</v>
      </c>
      <c r="D14" t="s">
        <v>1335</v>
      </c>
    </row>
    <row r="25" spans="2:3" x14ac:dyDescent="0.2">
      <c r="B25" s="15"/>
      <c r="C25" t="s">
        <v>1336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7"/>
  <sheetViews>
    <sheetView tabSelected="1" zoomScale="110" zoomScaleNormal="110" workbookViewId="0">
      <pane ySplit="1" topLeftCell="A2" activePane="bottomLeft" state="frozen"/>
      <selection pane="bottomLeft" activeCell="A2" sqref="A2"/>
    </sheetView>
  </sheetViews>
  <sheetFormatPr baseColWidth="10" defaultColWidth="9.1640625" defaultRowHeight="13.5" customHeight="1" x14ac:dyDescent="0.2"/>
  <cols>
    <col min="1" max="1" width="41.83203125" style="2" bestFit="1" customWidth="1"/>
    <col min="2" max="2" width="7.6640625" style="2" customWidth="1"/>
    <col min="3" max="3" width="7.33203125" style="2" customWidth="1"/>
    <col min="4" max="4" width="15" style="2" customWidth="1"/>
    <col min="5" max="5" width="13.5" style="2" customWidth="1"/>
    <col min="6" max="6" width="14.6640625" style="2" customWidth="1"/>
    <col min="7" max="7" width="18.5" style="2" customWidth="1"/>
    <col min="8" max="8" width="14.33203125" style="2" customWidth="1"/>
    <col min="9" max="9" width="12.1640625" style="2" customWidth="1"/>
    <col min="10" max="10" width="29.5" style="2" customWidth="1"/>
    <col min="11" max="11" width="51.5" style="2" customWidth="1"/>
    <col min="12" max="12" width="23.5" style="2" customWidth="1"/>
    <col min="13" max="13" width="17" style="2" customWidth="1"/>
    <col min="14" max="14" width="20.83203125" style="2" customWidth="1"/>
    <col min="15" max="16" width="23.83203125" style="2" customWidth="1"/>
    <col min="17" max="17" width="27" style="2" customWidth="1"/>
    <col min="18" max="18" width="28" style="4" customWidth="1"/>
    <col min="19" max="19" width="14.33203125" style="2" customWidth="1"/>
    <col min="20" max="20" width="24.1640625" style="10" bestFit="1" customWidth="1"/>
    <col min="21" max="21" width="35.6640625" style="2" bestFit="1" customWidth="1"/>
    <col min="22" max="16384" width="9.1640625" style="2"/>
  </cols>
  <sheetData>
    <row r="1" spans="1:21" ht="32" x14ac:dyDescent="0.2">
      <c r="A1" s="1" t="s">
        <v>455</v>
      </c>
      <c r="B1" s="1" t="s">
        <v>1092</v>
      </c>
      <c r="C1" s="3" t="s">
        <v>1046</v>
      </c>
      <c r="D1" s="1" t="s">
        <v>1040</v>
      </c>
      <c r="E1" s="1" t="s">
        <v>1041</v>
      </c>
      <c r="F1" s="1" t="s">
        <v>1042</v>
      </c>
      <c r="G1" s="1" t="s">
        <v>1043</v>
      </c>
      <c r="H1" s="1" t="s">
        <v>1044</v>
      </c>
      <c r="I1" s="1" t="s">
        <v>1045</v>
      </c>
      <c r="J1" s="3" t="s">
        <v>903</v>
      </c>
      <c r="K1" s="1" t="s">
        <v>0</v>
      </c>
      <c r="L1" s="1" t="s">
        <v>1021</v>
      </c>
      <c r="M1" s="1" t="s">
        <v>1031</v>
      </c>
      <c r="N1" s="1" t="s">
        <v>1249</v>
      </c>
      <c r="O1" s="3" t="s">
        <v>1250</v>
      </c>
      <c r="P1" s="1" t="s">
        <v>1251</v>
      </c>
      <c r="Q1" s="3" t="s">
        <v>1252</v>
      </c>
      <c r="R1" s="3" t="s">
        <v>1022</v>
      </c>
      <c r="S1" s="3" t="s">
        <v>966</v>
      </c>
      <c r="T1" s="20" t="s">
        <v>1027</v>
      </c>
      <c r="U1" s="1" t="s">
        <v>1</v>
      </c>
    </row>
    <row r="2" spans="1:21" ht="13.5" customHeight="1" x14ac:dyDescent="0.2">
      <c r="A2" s="10" t="s">
        <v>271</v>
      </c>
      <c r="B2" s="10"/>
      <c r="C2" s="10" t="str" cm="1">
        <f t="array" ref="C2">_xlfn.IFS(S2 = Modules!$A$2,Modules!$B$2,S2 = Modules!$A$3,Modules!$B$3,S2 = Modules!$A$4,Modules!$B$4,S2 = Modules!$A$5,Modules!$B$5,S2 = Modules!$A$6,Modules!$B$6,S2 = Modules!$A$7,Modules!$B$7,S2 = Modules!$A$8,Modules!$B$8,S2 = Modules!$A$9,Modules!$B$9,S2 = Modules!$A$10,Modules!$B$10,S2 = Modules!$A$11,Modules!$B$11,S2 = Modules!$A$12,Modules!$B$12, S2 = Modules!$A$13,Modules!$B$13)</f>
        <v>x</v>
      </c>
      <c r="D2" s="10" t="s">
        <v>1047</v>
      </c>
      <c r="E2" s="10"/>
      <c r="F2" s="10"/>
      <c r="G2" s="10"/>
      <c r="H2" s="10" t="s">
        <v>1048</v>
      </c>
      <c r="I2" s="10"/>
      <c r="J2" s="10" t="str">
        <f t="shared" ref="J2:J64" si="0">CONCATENATE(B2, C2,D2,E2,F2,G2,H2,I2)</f>
        <v>xToLeisureRatio</v>
      </c>
      <c r="K2" s="2" t="s">
        <v>801</v>
      </c>
      <c r="L2" s="10" t="s">
        <v>1032</v>
      </c>
      <c r="M2" s="10" t="str">
        <f t="shared" ref="M2:M64" si="1">IF(OR(O2&lt;&gt;"", Q2&lt;&gt;""),"Yes","No")</f>
        <v>No</v>
      </c>
      <c r="R2" s="4" t="s">
        <v>794</v>
      </c>
      <c r="S2" s="2" t="s">
        <v>595</v>
      </c>
    </row>
    <row r="3" spans="1:21" ht="13.5" customHeight="1" x14ac:dyDescent="0.2">
      <c r="A3" s="10" t="s">
        <v>272</v>
      </c>
      <c r="B3" s="10"/>
      <c r="C3" s="10" t="str" cm="1">
        <f t="array" ref="C3">_xlfn.IFS(S3 = Modules!$A$2,Modules!$B$2,S3 = Modules!$A$3,Modules!$B$3,S3 = Modules!$A$4,Modules!$B$4,S3 = Modules!$A$5,Modules!$B$5,S3 = Modules!$A$6,Modules!$B$6,S3 = Modules!$A$7,Modules!$B$7,S3 = Modules!$A$8,Modules!$B$8,S3 = Modules!$A$9,Modules!$B$9,S3 = Modules!$A$10,Modules!$B$10,S3 = Modules!$A$11,Modules!$B$11,S3 = Modules!$A$12,Modules!$B$12, S3 = Modules!$A$13,Modules!$B$13)</f>
        <v>stat</v>
      </c>
      <c r="D3" s="10"/>
      <c r="E3" s="10"/>
      <c r="F3" s="10" t="s">
        <v>1049</v>
      </c>
      <c r="G3" s="10" t="s">
        <v>1050</v>
      </c>
      <c r="H3" s="10" t="s">
        <v>1057</v>
      </c>
      <c r="I3" s="10"/>
      <c r="J3" s="10" t="str">
        <f t="shared" si="0"/>
        <v>statDisp18to29Avg</v>
      </c>
      <c r="K3" s="2" t="s">
        <v>802</v>
      </c>
      <c r="L3" s="10" t="s">
        <v>1032</v>
      </c>
      <c r="M3" s="10" t="str">
        <f t="shared" si="1"/>
        <v>No</v>
      </c>
      <c r="R3" s="4" t="s">
        <v>794</v>
      </c>
      <c r="S3" s="2" t="s">
        <v>973</v>
      </c>
    </row>
    <row r="4" spans="1:21" ht="13.5" customHeight="1" x14ac:dyDescent="0.2">
      <c r="A4" s="10" t="s">
        <v>273</v>
      </c>
      <c r="B4" s="10"/>
      <c r="C4" s="10" t="str" cm="1">
        <f t="array" ref="C4">_xlfn.IFS(S4 = Modules!$A$2,Modules!$B$2,S4 = Modules!$A$3,Modules!$B$3,S4 = Modules!$A$4,Modules!$B$4,S4 = Modules!$A$5,Modules!$B$5,S4 = Modules!$A$6,Modules!$B$6,S4 = Modules!$A$7,Modules!$B$7,S4 = Modules!$A$8,Modules!$B$8,S4 = Modules!$A$9,Modules!$B$9,S4 = Modules!$A$10,Modules!$B$10,S4 = Modules!$A$11,Modules!$B$11,S4 = Modules!$A$12,Modules!$B$12, S4 = Modules!$A$13,Modules!$B$13)</f>
        <v>stat</v>
      </c>
      <c r="D4" s="10"/>
      <c r="E4" s="10"/>
      <c r="F4" s="10" t="s">
        <v>1049</v>
      </c>
      <c r="G4" s="10" t="s">
        <v>1051</v>
      </c>
      <c r="H4" s="10" t="s">
        <v>1057</v>
      </c>
      <c r="I4" s="10"/>
      <c r="J4" s="10" t="str">
        <f t="shared" si="0"/>
        <v>statDisp30to54Avg</v>
      </c>
      <c r="K4" s="2" t="s">
        <v>803</v>
      </c>
      <c r="L4" s="10" t="s">
        <v>1032</v>
      </c>
      <c r="M4" s="10" t="str">
        <f t="shared" si="1"/>
        <v>No</v>
      </c>
      <c r="R4" s="4" t="s">
        <v>794</v>
      </c>
      <c r="S4" s="2" t="s">
        <v>973</v>
      </c>
    </row>
    <row r="5" spans="1:21" ht="13.5" customHeight="1" x14ac:dyDescent="0.2">
      <c r="A5" s="10" t="s">
        <v>274</v>
      </c>
      <c r="B5" s="10"/>
      <c r="C5" s="10" t="str" cm="1">
        <f t="array" ref="C5">_xlfn.IFS(S5 = Modules!$A$2,Modules!$B$2,S5 = Modules!$A$3,Modules!$B$3,S5 = Modules!$A$4,Modules!$B$4,S5 = Modules!$A$5,Modules!$B$5,S5 = Modules!$A$6,Modules!$B$6,S5 = Modules!$A$7,Modules!$B$7,S5 = Modules!$A$8,Modules!$B$8,S5 = Modules!$A$9,Modules!$B$9,S5 = Modules!$A$10,Modules!$B$10,S5 = Modules!$A$11,Modules!$B$11,S5 = Modules!$A$12,Modules!$B$12, S5 = Modules!$A$13,Modules!$B$13)</f>
        <v>stat</v>
      </c>
      <c r="D5" s="10"/>
      <c r="E5" s="10"/>
      <c r="F5" s="10" t="s">
        <v>1049</v>
      </c>
      <c r="G5" s="10" t="s">
        <v>1052</v>
      </c>
      <c r="H5" s="10" t="s">
        <v>1057</v>
      </c>
      <c r="I5" s="10"/>
      <c r="J5" s="10" t="str">
        <f t="shared" si="0"/>
        <v>statDisp55to74Avg</v>
      </c>
      <c r="K5" s="2" t="s">
        <v>804</v>
      </c>
      <c r="L5" s="10" t="s">
        <v>1032</v>
      </c>
      <c r="M5" s="10" t="str">
        <f t="shared" si="1"/>
        <v>No</v>
      </c>
      <c r="R5" s="4" t="s">
        <v>794</v>
      </c>
      <c r="S5" s="2" t="s">
        <v>973</v>
      </c>
    </row>
    <row r="6" spans="1:21" ht="13.5" customHeight="1" x14ac:dyDescent="0.2">
      <c r="A6" s="10" t="s">
        <v>275</v>
      </c>
      <c r="B6" s="10"/>
      <c r="C6" s="10" t="str" cm="1">
        <f t="array" ref="C6">_xlfn.IFS(S6 = Modules!$A$2,Modules!$B$2,S6 = Modules!$A$3,Modules!$B$3,S6 = Modules!$A$4,Modules!$B$4,S6 = Modules!$A$5,Modules!$B$5,S6 = Modules!$A$6,Modules!$B$6,S6 = Modules!$A$7,Modules!$B$7,S6 = Modules!$A$8,Modules!$B$8,S6 = Modules!$A$9,Modules!$B$9,S6 = Modules!$A$10,Modules!$B$10,S6 = Modules!$A$11,Modules!$B$11,S6 = Modules!$A$12,Modules!$B$12, S6 = Modules!$A$13,Modules!$B$13)</f>
        <v>x</v>
      </c>
      <c r="D6" s="10"/>
      <c r="E6" s="10"/>
      <c r="F6" s="10"/>
      <c r="G6" s="10" t="s">
        <v>1050</v>
      </c>
      <c r="H6" s="10" t="s">
        <v>1057</v>
      </c>
      <c r="I6" s="10"/>
      <c r="J6" s="10" t="str">
        <f t="shared" si="0"/>
        <v>x18to29Avg</v>
      </c>
      <c r="K6" s="2" t="s">
        <v>805</v>
      </c>
      <c r="L6" s="10" t="s">
        <v>1032</v>
      </c>
      <c r="M6" s="10" t="str">
        <f t="shared" si="1"/>
        <v>No</v>
      </c>
      <c r="R6" s="4" t="s">
        <v>794</v>
      </c>
      <c r="S6" s="2" t="s">
        <v>595</v>
      </c>
    </row>
    <row r="7" spans="1:21" ht="13.5" customHeight="1" x14ac:dyDescent="0.2">
      <c r="A7" s="10" t="s">
        <v>276</v>
      </c>
      <c r="B7" s="10"/>
      <c r="C7" s="10" t="str" cm="1">
        <f t="array" ref="C7">_xlfn.IFS(S7 = Modules!$A$2,Modules!$B$2,S7 = Modules!$A$3,Modules!$B$3,S7 = Modules!$A$4,Modules!$B$4,S7 = Modules!$A$5,Modules!$B$5,S7 = Modules!$A$6,Modules!$B$6,S7 = Modules!$A$7,Modules!$B$7,S7 = Modules!$A$8,Modules!$B$8,S7 = Modules!$A$9,Modules!$B$9,S7 = Modules!$A$10,Modules!$B$10,S7 = Modules!$A$11,Modules!$B$11,S7 = Modules!$A$12,Modules!$B$12, S7 = Modules!$A$13,Modules!$B$13)</f>
        <v>x</v>
      </c>
      <c r="D7" s="10"/>
      <c r="E7" s="10"/>
      <c r="F7" s="10"/>
      <c r="G7" s="2" t="s">
        <v>1055</v>
      </c>
      <c r="H7" s="10" t="s">
        <v>1057</v>
      </c>
      <c r="I7" s="10"/>
      <c r="J7" s="10" t="str">
        <f t="shared" si="0"/>
        <v>x18to54Avg</v>
      </c>
      <c r="K7" s="2" t="s">
        <v>806</v>
      </c>
      <c r="L7" s="10" t="s">
        <v>1032</v>
      </c>
      <c r="M7" s="10" t="str">
        <f t="shared" si="1"/>
        <v>No</v>
      </c>
      <c r="R7" s="4" t="s">
        <v>794</v>
      </c>
      <c r="S7" s="2" t="s">
        <v>595</v>
      </c>
    </row>
    <row r="8" spans="1:21" ht="13.5" customHeight="1" x14ac:dyDescent="0.2">
      <c r="A8" s="10" t="s">
        <v>277</v>
      </c>
      <c r="B8" s="10"/>
      <c r="C8" s="10" t="str" cm="1">
        <f t="array" ref="C8">_xlfn.IFS(S8 = Modules!$A$2,Modules!$B$2,S8 = Modules!$A$3,Modules!$B$3,S8 = Modules!$A$4,Modules!$B$4,S8 = Modules!$A$5,Modules!$B$5,S8 = Modules!$A$6,Modules!$B$6,S8 = Modules!$A$7,Modules!$B$7,S8 = Modules!$A$8,Modules!$B$8,S8 = Modules!$A$9,Modules!$B$9,S8 = Modules!$A$10,Modules!$B$10,S8 = Modules!$A$11,Modules!$B$11,S8 = Modules!$A$12,Modules!$B$12, S8 = Modules!$A$13,Modules!$B$13)</f>
        <v>x</v>
      </c>
      <c r="D8" s="10"/>
      <c r="E8" s="10"/>
      <c r="F8" s="10"/>
      <c r="G8" s="10" t="s">
        <v>1051</v>
      </c>
      <c r="H8" s="10" t="s">
        <v>1057</v>
      </c>
      <c r="I8" s="10"/>
      <c r="J8" s="10" t="str">
        <f t="shared" si="0"/>
        <v>x30to54Avg</v>
      </c>
      <c r="K8" s="2" t="s">
        <v>807</v>
      </c>
      <c r="L8" s="10" t="s">
        <v>1032</v>
      </c>
      <c r="M8" s="10" t="str">
        <f t="shared" si="1"/>
        <v>No</v>
      </c>
      <c r="R8" s="4" t="s">
        <v>794</v>
      </c>
      <c r="S8" s="2" t="s">
        <v>595</v>
      </c>
    </row>
    <row r="9" spans="1:21" ht="13.5" customHeight="1" x14ac:dyDescent="0.2">
      <c r="A9" s="10" t="s">
        <v>278</v>
      </c>
      <c r="B9" s="10"/>
      <c r="C9" s="10" t="str" cm="1">
        <f t="array" ref="C9">_xlfn.IFS(S9 = Modules!$A$2,Modules!$B$2,S9 = Modules!$A$3,Modules!$B$3,S9 = Modules!$A$4,Modules!$B$4,S9 = Modules!$A$5,Modules!$B$5,S9 = Modules!$A$6,Modules!$B$6,S9 = Modules!$A$7,Modules!$B$7,S9 = Modules!$A$8,Modules!$B$8,S9 = Modules!$A$9,Modules!$B$9,S9 = Modules!$A$10,Modules!$B$10,S9 = Modules!$A$11,Modules!$B$11,S9 = Modules!$A$12,Modules!$B$12, S9 = Modules!$A$13,Modules!$B$13)</f>
        <v>x</v>
      </c>
      <c r="D9" s="10"/>
      <c r="E9" s="10"/>
      <c r="F9" s="10"/>
      <c r="G9" s="10" t="s">
        <v>1052</v>
      </c>
      <c r="H9" s="10" t="s">
        <v>1057</v>
      </c>
      <c r="I9" s="10"/>
      <c r="J9" s="10" t="str">
        <f t="shared" si="0"/>
        <v>x55to74Avg</v>
      </c>
      <c r="K9" s="2" t="s">
        <v>808</v>
      </c>
      <c r="L9" s="10" t="s">
        <v>1032</v>
      </c>
      <c r="M9" s="10" t="str">
        <f t="shared" si="1"/>
        <v>No</v>
      </c>
      <c r="R9" s="4" t="s">
        <v>794</v>
      </c>
      <c r="S9" s="2" t="s">
        <v>595</v>
      </c>
    </row>
    <row r="10" spans="1:21" ht="13.5" customHeight="1" x14ac:dyDescent="0.2">
      <c r="A10" s="10" t="s">
        <v>279</v>
      </c>
      <c r="B10" s="10"/>
      <c r="C10" s="10" t="str" cm="1">
        <f t="array" ref="C10">_xlfn.IFS(S10 = Modules!$A$2,Modules!$B$2,S10 = Modules!$A$3,Modules!$B$3,S10 = Modules!$A$4,Modules!$B$4,S10 = Modules!$A$5,Modules!$B$5,S10 = Modules!$A$6,Modules!$B$6,S10 = Modules!$A$7,Modules!$B$7,S10 = Modules!$A$8,Modules!$B$8,S10 = Modules!$A$9,Modules!$B$9,S10 = Modules!$A$10,Modules!$B$10,S10 = Modules!$A$11,Modules!$B$11,S10 = Modules!$A$12,Modules!$B$12, S10 = Modules!$A$13,Modules!$B$13)</f>
        <v>lab</v>
      </c>
      <c r="D10" s="10" t="s">
        <v>1056</v>
      </c>
      <c r="E10" s="10"/>
      <c r="F10" s="10"/>
      <c r="G10" s="10" t="s">
        <v>1050</v>
      </c>
      <c r="H10" s="10" t="s">
        <v>1053</v>
      </c>
      <c r="I10" s="10"/>
      <c r="J10" s="10" t="str">
        <f t="shared" si="0"/>
        <v>labNoWork18to29Share</v>
      </c>
      <c r="K10" s="2" t="s">
        <v>809</v>
      </c>
      <c r="L10" s="10" t="s">
        <v>1032</v>
      </c>
      <c r="M10" s="10" t="str">
        <f t="shared" si="1"/>
        <v>No</v>
      </c>
      <c r="R10" s="4" t="s">
        <v>794</v>
      </c>
      <c r="S10" s="2" t="s">
        <v>475</v>
      </c>
    </row>
    <row r="11" spans="1:21" ht="13.5" customHeight="1" x14ac:dyDescent="0.2">
      <c r="A11" s="10" t="s">
        <v>280</v>
      </c>
      <c r="B11" s="10"/>
      <c r="C11" s="10" t="str" cm="1">
        <f t="array" ref="C11">_xlfn.IFS(S11 = Modules!$A$2,Modules!$B$2,S11 = Modules!$A$3,Modules!$B$3,S11 = Modules!$A$4,Modules!$B$4,S11 = Modules!$A$5,Modules!$B$5,S11 = Modules!$A$6,Modules!$B$6,S11 = Modules!$A$7,Modules!$B$7,S11 = Modules!$A$8,Modules!$B$8,S11 = Modules!$A$9,Modules!$B$9,S11 = Modules!$A$10,Modules!$B$10,S11 = Modules!$A$11,Modules!$B$11,S11 = Modules!$A$12,Modules!$B$12, S11 = Modules!$A$13,Modules!$B$13)</f>
        <v>lab</v>
      </c>
      <c r="D11" s="10" t="s">
        <v>1056</v>
      </c>
      <c r="E11" s="10"/>
      <c r="F11" s="10"/>
      <c r="G11" s="2" t="s">
        <v>1055</v>
      </c>
      <c r="H11" s="10" t="s">
        <v>1053</v>
      </c>
      <c r="I11" s="10"/>
      <c r="J11" s="10" t="str">
        <f t="shared" si="0"/>
        <v>labNoWork18to54Share</v>
      </c>
      <c r="K11" s="2" t="s">
        <v>810</v>
      </c>
      <c r="L11" s="10" t="s">
        <v>1032</v>
      </c>
      <c r="M11" s="10" t="str">
        <f t="shared" si="1"/>
        <v>No</v>
      </c>
      <c r="R11" s="4" t="s">
        <v>794</v>
      </c>
      <c r="S11" s="2" t="s">
        <v>475</v>
      </c>
    </row>
    <row r="12" spans="1:21" ht="13.5" customHeight="1" x14ac:dyDescent="0.2">
      <c r="A12" s="10" t="s">
        <v>281</v>
      </c>
      <c r="B12" s="10"/>
      <c r="C12" s="10" t="str" cm="1">
        <f t="array" ref="C12">_xlfn.IFS(S12 = Modules!$A$2,Modules!$B$2,S12 = Modules!$A$3,Modules!$B$3,S12 = Modules!$A$4,Modules!$B$4,S12 = Modules!$A$5,Modules!$B$5,S12 = Modules!$A$6,Modules!$B$6,S12 = Modules!$A$7,Modules!$B$7,S12 = Modules!$A$8,Modules!$B$8,S12 = Modules!$A$9,Modules!$B$9,S12 = Modules!$A$10,Modules!$B$10,S12 = Modules!$A$11,Modules!$B$11,S12 = Modules!$A$12,Modules!$B$12, S12 = Modules!$A$13,Modules!$B$13)</f>
        <v>lab</v>
      </c>
      <c r="D12" s="10" t="s">
        <v>1056</v>
      </c>
      <c r="E12" s="10"/>
      <c r="F12" s="10"/>
      <c r="G12" s="10" t="s">
        <v>1051</v>
      </c>
      <c r="H12" s="10" t="s">
        <v>1053</v>
      </c>
      <c r="I12" s="10"/>
      <c r="J12" s="10" t="str">
        <f t="shared" si="0"/>
        <v>labNoWork30to54Share</v>
      </c>
      <c r="K12" s="2" t="s">
        <v>811</v>
      </c>
      <c r="L12" s="10" t="s">
        <v>1032</v>
      </c>
      <c r="M12" s="10" t="str">
        <f t="shared" si="1"/>
        <v>No</v>
      </c>
      <c r="R12" s="4" t="s">
        <v>794</v>
      </c>
      <c r="S12" s="2" t="s">
        <v>475</v>
      </c>
    </row>
    <row r="13" spans="1:21" ht="13.5" customHeight="1" x14ac:dyDescent="0.2">
      <c r="A13" s="10" t="s">
        <v>282</v>
      </c>
      <c r="B13" s="10"/>
      <c r="C13" s="10" t="str" cm="1">
        <f t="array" ref="C13">_xlfn.IFS(S13 = Modules!$A$2,Modules!$B$2,S13 = Modules!$A$3,Modules!$B$3,S13 = Modules!$A$4,Modules!$B$4,S13 = Modules!$A$5,Modules!$B$5,S13 = Modules!$A$6,Modules!$B$6,S13 = Modules!$A$7,Modules!$B$7,S13 = Modules!$A$8,Modules!$B$8,S13 = Modules!$A$9,Modules!$B$9,S13 = Modules!$A$10,Modules!$B$10,S13 = Modules!$A$11,Modules!$B$11,S13 = Modules!$A$12,Modules!$B$12, S13 = Modules!$A$13,Modules!$B$13)</f>
        <v>lab</v>
      </c>
      <c r="D13" s="10" t="s">
        <v>1056</v>
      </c>
      <c r="E13" s="10"/>
      <c r="F13" s="10"/>
      <c r="G13" s="10" t="s">
        <v>1052</v>
      </c>
      <c r="H13" s="10" t="s">
        <v>1053</v>
      </c>
      <c r="I13" s="10"/>
      <c r="J13" s="10" t="str">
        <f t="shared" si="0"/>
        <v>labNoWork55to74Share</v>
      </c>
      <c r="K13" s="2" t="s">
        <v>812</v>
      </c>
      <c r="L13" s="10" t="s">
        <v>1032</v>
      </c>
      <c r="M13" s="10" t="str">
        <f t="shared" si="1"/>
        <v>No</v>
      </c>
      <c r="R13" s="4" t="s">
        <v>794</v>
      </c>
      <c r="S13" s="2" t="s">
        <v>475</v>
      </c>
    </row>
    <row r="14" spans="1:21" ht="80" x14ac:dyDescent="0.2">
      <c r="A14" s="2" t="s">
        <v>142</v>
      </c>
      <c r="C14" s="10" t="str" cm="1">
        <f t="array" ref="C14">_xlfn.IFS(S14 = Modules!$A$2,Modules!$B$2,S14 = Modules!$A$3,Modules!$B$3,S14 = Modules!$A$4,Modules!$B$4,S14 = Modules!$A$5,Modules!$B$5,S14 = Modules!$A$6,Modules!$B$6,S14 = Modules!$A$7,Modules!$B$7,S14 = Modules!$A$8,Modules!$B$8,S14 = Modules!$A$9,Modules!$B$9,S14 = Modules!$A$10,Modules!$B$10,S14 = Modules!$A$11,Modules!$B$11,S14 = Modules!$A$12,Modules!$B$12, S14 = Modules!$A$13,Modules!$B$13)</f>
        <v>dem</v>
      </c>
      <c r="D14" s="2" t="s">
        <v>1058</v>
      </c>
      <c r="H14" s="2" t="s">
        <v>981</v>
      </c>
      <c r="J14" s="10" t="str">
        <f t="shared" si="0"/>
        <v>demAdultChildFlag</v>
      </c>
      <c r="K14" s="2" t="s">
        <v>670</v>
      </c>
      <c r="L14" s="8" t="s">
        <v>334</v>
      </c>
      <c r="M14" s="10" t="str">
        <f t="shared" si="1"/>
        <v>Yes</v>
      </c>
      <c r="N14" s="2" t="s">
        <v>1382</v>
      </c>
      <c r="O14" s="2" t="s">
        <v>521</v>
      </c>
      <c r="P14" s="2" t="s">
        <v>1296</v>
      </c>
      <c r="Q14" s="2" t="s">
        <v>1253</v>
      </c>
      <c r="S14" s="2" t="s">
        <v>975</v>
      </c>
    </row>
    <row r="15" spans="1:21" ht="13.5" customHeight="1" x14ac:dyDescent="0.2">
      <c r="A15" s="2" t="s">
        <v>401</v>
      </c>
      <c r="C15" s="10" t="str" cm="1">
        <f t="array" ref="C15">_xlfn.IFS(S15 = Modules!$A$2,Modules!$B$2,S15 = Modules!$A$3,Modules!$B$3,S15 = Modules!$A$4,Modules!$B$4,S15 = Modules!$A$5,Modules!$B$5,S15 = Modules!$A$6,Modules!$B$6,S15 = Modules!$A$7,Modules!$B$7,S15 = Modules!$A$8,Modules!$B$8,S15 = Modules!$A$9,Modules!$B$9,S15 = Modules!$A$10,Modules!$B$10,S15 = Modules!$A$11,Modules!$B$11,S15 = Modules!$A$12,Modules!$B$12, S15 = Modules!$A$13,Modules!$B$13)</f>
        <v>dem</v>
      </c>
      <c r="D15" s="2" t="s">
        <v>1059</v>
      </c>
      <c r="J15" s="10" t="str">
        <f t="shared" si="0"/>
        <v>demAgeGroup</v>
      </c>
      <c r="K15" s="2" t="s">
        <v>875</v>
      </c>
      <c r="L15" s="2" t="s">
        <v>334</v>
      </c>
      <c r="M15" s="10" t="str">
        <f t="shared" si="1"/>
        <v>No</v>
      </c>
      <c r="S15" s="2" t="s">
        <v>975</v>
      </c>
    </row>
    <row r="16" spans="1:21" ht="13.5" customHeight="1" x14ac:dyDescent="0.2">
      <c r="A16" s="2" t="s">
        <v>174</v>
      </c>
      <c r="C16" s="10" t="str" cm="1">
        <f t="array" ref="C16">_xlfn.IFS(S16 = Modules!$A$2,Modules!$B$2,S16 = Modules!$A$3,Modules!$B$3,S16 = Modules!$A$4,Modules!$B$4,S16 = Modules!$A$5,Modules!$B$5,S16 = Modules!$A$6,Modules!$B$6,S16 = Modules!$A$7,Modules!$B$7,S16 = Modules!$A$8,Modules!$B$8,S16 = Modules!$A$9,Modules!$B$9,S16 = Modules!$A$10,Modules!$B$10,S16 = Modules!$A$11,Modules!$B$11,S16 = Modules!$A$12,Modules!$B$12, S16 = Modules!$A$13,Modules!$B$13)</f>
        <v>y</v>
      </c>
      <c r="D16" s="2" t="s">
        <v>1062</v>
      </c>
      <c r="H16" s="2" t="s">
        <v>981</v>
      </c>
      <c r="J16" s="10" t="str">
        <f t="shared" si="0"/>
        <v>yPvrtyFlag</v>
      </c>
      <c r="K16" s="2" t="s">
        <v>708</v>
      </c>
      <c r="L16" s="2" t="s">
        <v>451</v>
      </c>
      <c r="M16" s="10" t="str">
        <f t="shared" si="1"/>
        <v>No</v>
      </c>
      <c r="S16" s="2" t="s">
        <v>480</v>
      </c>
      <c r="U16" s="2" t="s">
        <v>709</v>
      </c>
    </row>
    <row r="17" spans="1:19" ht="13.5" customHeight="1" x14ac:dyDescent="0.2">
      <c r="A17" s="2" t="s">
        <v>437</v>
      </c>
      <c r="C17" s="10" t="str" cm="1">
        <f t="array" ref="C17">_xlfn.IFS(S17 = Modules!$A$2,Modules!$B$2,S17 = Modules!$A$3,Modules!$B$3,S17 = Modules!$A$4,Modules!$B$4,S17 = Modules!$A$5,Modules!$B$5,S17 = Modules!$A$6,Modules!$B$6,S17 = Modules!$A$7,Modules!$B$7,S17 = Modules!$A$8,Modules!$B$8,S17 = Modules!$A$9,Modules!$B$9,S17 = Modules!$A$10,Modules!$B$10,S17 = Modules!$A$11,Modules!$B$11,S17 = Modules!$A$12,Modules!$B$12, S17 = Modules!$A$13,Modules!$B$13)</f>
        <v>y</v>
      </c>
      <c r="D17" s="2" t="s">
        <v>1062</v>
      </c>
      <c r="H17" s="2" t="s">
        <v>981</v>
      </c>
      <c r="I17" s="2" t="s">
        <v>1063</v>
      </c>
      <c r="J17" s="10" t="str">
        <f t="shared" si="0"/>
        <v>yPvrtyFlagL1</v>
      </c>
      <c r="K17" s="2" t="s">
        <v>710</v>
      </c>
      <c r="L17" s="2" t="s">
        <v>451</v>
      </c>
      <c r="M17" s="10" t="str">
        <f t="shared" si="1"/>
        <v>No</v>
      </c>
      <c r="S17" s="2" t="s">
        <v>480</v>
      </c>
    </row>
    <row r="18" spans="1:19" ht="13.5" customHeight="1" x14ac:dyDescent="0.2">
      <c r="A18" s="10" t="s">
        <v>283</v>
      </c>
      <c r="B18" s="10"/>
      <c r="C18" s="10" t="str" cm="1">
        <f t="array" ref="C18">_xlfn.IFS(S18 = Modules!$A$2,Modules!$B$2,S18 = Modules!$A$3,Modules!$B$3,S18 = Modules!$A$4,Modules!$B$4,S18 = Modules!$A$5,Modules!$B$5,S18 = Modules!$A$6,Modules!$B$6,S18 = Modules!$A$7,Modules!$B$7,S18 = Modules!$A$8,Modules!$B$8,S18 = Modules!$A$9,Modules!$B$9,S18 = Modules!$A$10,Modules!$B$10,S18 = Modules!$A$11,Modules!$B$11,S18 = Modules!$A$12,Modules!$B$12, S18 = Modules!$A$13,Modules!$B$13)</f>
        <v>dem</v>
      </c>
      <c r="D18" s="2" t="s">
        <v>1141</v>
      </c>
      <c r="E18" s="10"/>
      <c r="F18" s="10"/>
      <c r="G18" s="10" t="s">
        <v>1050</v>
      </c>
      <c r="H18" s="10" t="s">
        <v>1057</v>
      </c>
      <c r="I18" s="10"/>
      <c r="J18" s="10" t="str">
        <f t="shared" si="0"/>
        <v>demNChild18to29Avg</v>
      </c>
      <c r="K18" s="2" t="s">
        <v>813</v>
      </c>
      <c r="L18" s="10" t="s">
        <v>1032</v>
      </c>
      <c r="M18" s="10" t="str">
        <f t="shared" si="1"/>
        <v>No</v>
      </c>
      <c r="R18" s="4" t="s">
        <v>794</v>
      </c>
      <c r="S18" s="2" t="s">
        <v>975</v>
      </c>
    </row>
    <row r="19" spans="1:19" ht="13.5" customHeight="1" x14ac:dyDescent="0.2">
      <c r="A19" s="10" t="s">
        <v>284</v>
      </c>
      <c r="B19" s="10"/>
      <c r="C19" s="10" t="str" cm="1">
        <f t="array" ref="C19">_xlfn.IFS(S19 = Modules!$A$2,Modules!$B$2,S19 = Modules!$A$3,Modules!$B$3,S19 = Modules!$A$4,Modules!$B$4,S19 = Modules!$A$5,Modules!$B$5,S19 = Modules!$A$6,Modules!$B$6,S19 = Modules!$A$7,Modules!$B$7,S19 = Modules!$A$8,Modules!$B$8,S19 = Modules!$A$9,Modules!$B$9,S19 = Modules!$A$10,Modules!$B$10,S19 = Modules!$A$11,Modules!$B$11,S19 = Modules!$A$12,Modules!$B$12, S19 = Modules!$A$13,Modules!$B$13)</f>
        <v>dem</v>
      </c>
      <c r="D19" s="2" t="s">
        <v>1141</v>
      </c>
      <c r="E19" s="10"/>
      <c r="F19" s="10"/>
      <c r="G19" s="10" t="s">
        <v>1051</v>
      </c>
      <c r="H19" s="10" t="s">
        <v>1057</v>
      </c>
      <c r="I19" s="10"/>
      <c r="J19" s="10" t="str">
        <f t="shared" si="0"/>
        <v>demNChild30to54Avg</v>
      </c>
      <c r="K19" s="2" t="s">
        <v>814</v>
      </c>
      <c r="L19" s="10" t="s">
        <v>1032</v>
      </c>
      <c r="M19" s="10" t="str">
        <f t="shared" si="1"/>
        <v>No</v>
      </c>
      <c r="R19" s="4" t="s">
        <v>794</v>
      </c>
      <c r="S19" s="2" t="s">
        <v>975</v>
      </c>
    </row>
    <row r="20" spans="1:19" ht="13.5" customHeight="1" x14ac:dyDescent="0.2">
      <c r="A20" s="10" t="s">
        <v>285</v>
      </c>
      <c r="B20" s="10"/>
      <c r="C20" s="10" t="str" cm="1">
        <f t="array" ref="C20">_xlfn.IFS(S20 = Modules!$A$2,Modules!$B$2,S20 = Modules!$A$3,Modules!$B$3,S20 = Modules!$A$4,Modules!$B$4,S20 = Modules!$A$5,Modules!$B$5,S20 = Modules!$A$6,Modules!$B$6,S20 = Modules!$A$7,Modules!$B$7,S20 = Modules!$A$8,Modules!$B$8,S20 = Modules!$A$9,Modules!$B$9,S20 = Modules!$A$10,Modules!$B$10,S20 = Modules!$A$11,Modules!$B$11,S20 = Modules!$A$12,Modules!$B$12, S20 = Modules!$A$13,Modules!$B$13)</f>
        <v>dem</v>
      </c>
      <c r="D20" s="2" t="s">
        <v>1141</v>
      </c>
      <c r="E20" s="10"/>
      <c r="F20" s="10"/>
      <c r="G20" s="10" t="s">
        <v>1052</v>
      </c>
      <c r="H20" s="10" t="s">
        <v>1057</v>
      </c>
      <c r="I20" s="10"/>
      <c r="J20" s="10" t="str">
        <f t="shared" si="0"/>
        <v>demNChild55to74Avg</v>
      </c>
      <c r="K20" s="2" t="s">
        <v>815</v>
      </c>
      <c r="L20" s="10" t="s">
        <v>1032</v>
      </c>
      <c r="M20" s="10" t="str">
        <f t="shared" si="1"/>
        <v>No</v>
      </c>
      <c r="R20" s="4" t="s">
        <v>794</v>
      </c>
      <c r="S20" s="2" t="s">
        <v>975</v>
      </c>
    </row>
    <row r="21" spans="1:19" ht="13.5" customHeight="1" x14ac:dyDescent="0.2">
      <c r="A21" s="10" t="s">
        <v>286</v>
      </c>
      <c r="B21" s="10"/>
      <c r="C21" s="10" t="str" cm="1">
        <f t="array" ref="C21">_xlfn.IFS(S21 = Modules!$A$2,Modules!$B$2,S21 = Modules!$A$3,Modules!$B$3,S21 = Modules!$A$4,Modules!$B$4,S21 = Modules!$A$5,Modules!$B$5,S21 = Modules!$A$6,Modules!$B$6,S21 = Modules!$A$7,Modules!$B$7,S21 = Modules!$A$8,Modules!$B$8,S21 = Modules!$A$9,Modules!$B$9,S21 = Modules!$A$10,Modules!$B$10,S21 = Modules!$A$11,Modules!$B$11,S21 = Modules!$A$12,Modules!$B$12, S21 = Modules!$A$13,Modules!$B$13)</f>
        <v>lab</v>
      </c>
      <c r="D21" s="2" t="s">
        <v>1065</v>
      </c>
      <c r="E21" s="10"/>
      <c r="F21" s="10"/>
      <c r="G21" s="10" t="s">
        <v>1050</v>
      </c>
      <c r="H21" s="10" t="s">
        <v>1053</v>
      </c>
      <c r="I21" s="10"/>
      <c r="J21" s="10" t="str">
        <f t="shared" si="0"/>
        <v>labWorkFullTime18to29Share</v>
      </c>
      <c r="K21" s="2" t="s">
        <v>816</v>
      </c>
      <c r="L21" s="10" t="s">
        <v>1032</v>
      </c>
      <c r="M21" s="10" t="str">
        <f t="shared" si="1"/>
        <v>No</v>
      </c>
      <c r="R21" s="4" t="s">
        <v>794</v>
      </c>
      <c r="S21" s="2" t="s">
        <v>475</v>
      </c>
    </row>
    <row r="22" spans="1:19" ht="13.5" customHeight="1" x14ac:dyDescent="0.2">
      <c r="A22" s="10" t="s">
        <v>287</v>
      </c>
      <c r="B22" s="10"/>
      <c r="C22" s="10" t="str" cm="1">
        <f t="array" ref="C22">_xlfn.IFS(S22 = Modules!$A$2,Modules!$B$2,S22 = Modules!$A$3,Modules!$B$3,S22 = Modules!$A$4,Modules!$B$4,S22 = Modules!$A$5,Modules!$B$5,S22 = Modules!$A$6,Modules!$B$6,S22 = Modules!$A$7,Modules!$B$7,S22 = Modules!$A$8,Modules!$B$8,S22 = Modules!$A$9,Modules!$B$9,S22 = Modules!$A$10,Modules!$B$10,S22 = Modules!$A$11,Modules!$B$11,S22 = Modules!$A$12,Modules!$B$12, S22 = Modules!$A$13,Modules!$B$13)</f>
        <v>lab</v>
      </c>
      <c r="D22" s="2" t="s">
        <v>1065</v>
      </c>
      <c r="E22" s="10"/>
      <c r="F22" s="10"/>
      <c r="G22" s="10" t="s">
        <v>1051</v>
      </c>
      <c r="H22" s="10" t="s">
        <v>1053</v>
      </c>
      <c r="I22" s="10"/>
      <c r="J22" s="10" t="str">
        <f t="shared" si="0"/>
        <v>labWorkFullTime30to54Share</v>
      </c>
      <c r="K22" s="2" t="s">
        <v>817</v>
      </c>
      <c r="L22" s="10" t="s">
        <v>1032</v>
      </c>
      <c r="M22" s="10" t="str">
        <f t="shared" si="1"/>
        <v>No</v>
      </c>
      <c r="R22" s="4" t="s">
        <v>794</v>
      </c>
      <c r="S22" s="2" t="s">
        <v>475</v>
      </c>
    </row>
    <row r="23" spans="1:19" ht="13.5" customHeight="1" x14ac:dyDescent="0.2">
      <c r="A23" s="10" t="s">
        <v>288</v>
      </c>
      <c r="B23" s="10"/>
      <c r="C23" s="10" t="str" cm="1">
        <f t="array" ref="C23">_xlfn.IFS(S23 = Modules!$A$2,Modules!$B$2,S23 = Modules!$A$3,Modules!$B$3,S23 = Modules!$A$4,Modules!$B$4,S23 = Modules!$A$5,Modules!$B$5,S23 = Modules!$A$6,Modules!$B$6,S23 = Modules!$A$7,Modules!$B$7,S23 = Modules!$A$8,Modules!$B$8,S23 = Modules!$A$9,Modules!$B$9,S23 = Modules!$A$10,Modules!$B$10,S23 = Modules!$A$11,Modules!$B$11,S23 = Modules!$A$12,Modules!$B$12, S23 = Modules!$A$13,Modules!$B$13)</f>
        <v>lab</v>
      </c>
      <c r="D23" s="2" t="s">
        <v>1065</v>
      </c>
      <c r="E23" s="10"/>
      <c r="F23" s="10"/>
      <c r="G23" s="10" t="s">
        <v>1052</v>
      </c>
      <c r="H23" s="10" t="s">
        <v>1053</v>
      </c>
      <c r="I23" s="10"/>
      <c r="J23" s="10" t="str">
        <f t="shared" si="0"/>
        <v>labWorkFullTime55to74Share</v>
      </c>
      <c r="K23" s="2" t="s">
        <v>818</v>
      </c>
      <c r="L23" s="10" t="s">
        <v>1032</v>
      </c>
      <c r="M23" s="10" t="str">
        <f t="shared" si="1"/>
        <v>No</v>
      </c>
      <c r="R23" s="4" t="s">
        <v>794</v>
      </c>
      <c r="S23" s="2" t="s">
        <v>475</v>
      </c>
    </row>
    <row r="24" spans="1:19" ht="13.5" customHeight="1" x14ac:dyDescent="0.2">
      <c r="A24" s="10" t="s">
        <v>289</v>
      </c>
      <c r="B24" s="10"/>
      <c r="C24" s="10" t="str" cm="1">
        <f t="array" ref="C24">_xlfn.IFS(S24 = Modules!$A$2,Modules!$B$2,S24 = Modules!$A$3,Modules!$B$3,S24 = Modules!$A$4,Modules!$B$4,S24 = Modules!$A$5,Modules!$B$5,S24 = Modules!$A$6,Modules!$B$6,S24 = Modules!$A$7,Modules!$B$7,S24 = Modules!$A$8,Modules!$B$8,S24 = Modules!$A$9,Modules!$B$9,S24 = Modules!$A$10,Modules!$B$10,S24 = Modules!$A$11,Modules!$B$11,S24 = Modules!$A$12,Modules!$B$12, S24 = Modules!$A$13,Modules!$B$13)</f>
        <v>lab</v>
      </c>
      <c r="D24" s="2" t="s">
        <v>1066</v>
      </c>
      <c r="E24" s="10"/>
      <c r="F24" s="10"/>
      <c r="G24" s="10" t="s">
        <v>1050</v>
      </c>
      <c r="H24" s="10" t="s">
        <v>1053</v>
      </c>
      <c r="I24" s="10"/>
      <c r="J24" s="10" t="str">
        <f t="shared" si="0"/>
        <v>labWorkPartTime18to29Share</v>
      </c>
      <c r="K24" s="6" t="s">
        <v>819</v>
      </c>
      <c r="L24" s="10" t="s">
        <v>1032</v>
      </c>
      <c r="M24" s="10" t="str">
        <f t="shared" si="1"/>
        <v>No</v>
      </c>
      <c r="R24" s="4" t="s">
        <v>794</v>
      </c>
      <c r="S24" s="2" t="s">
        <v>475</v>
      </c>
    </row>
    <row r="25" spans="1:19" ht="13.5" customHeight="1" x14ac:dyDescent="0.2">
      <c r="A25" s="10" t="s">
        <v>290</v>
      </c>
      <c r="B25" s="10"/>
      <c r="C25" s="10" t="str" cm="1">
        <f t="array" ref="C25">_xlfn.IFS(S25 = Modules!$A$2,Modules!$B$2,S25 = Modules!$A$3,Modules!$B$3,S25 = Modules!$A$4,Modules!$B$4,S25 = Modules!$A$5,Modules!$B$5,S25 = Modules!$A$6,Modules!$B$6,S25 = Modules!$A$7,Modules!$B$7,S25 = Modules!$A$8,Modules!$B$8,S25 = Modules!$A$9,Modules!$B$9,S25 = Modules!$A$10,Modules!$B$10,S25 = Modules!$A$11,Modules!$B$11,S25 = Modules!$A$12,Modules!$B$12, S25 = Modules!$A$13,Modules!$B$13)</f>
        <v>lab</v>
      </c>
      <c r="D25" s="2" t="s">
        <v>1066</v>
      </c>
      <c r="E25" s="10"/>
      <c r="F25" s="10"/>
      <c r="G25" s="10" t="s">
        <v>1051</v>
      </c>
      <c r="H25" s="10" t="s">
        <v>1053</v>
      </c>
      <c r="I25" s="10"/>
      <c r="J25" s="10" t="str">
        <f t="shared" si="0"/>
        <v>labWorkPartTime30to54Share</v>
      </c>
      <c r="K25" s="6" t="s">
        <v>820</v>
      </c>
      <c r="L25" s="10" t="s">
        <v>1032</v>
      </c>
      <c r="M25" s="10" t="str">
        <f t="shared" si="1"/>
        <v>No</v>
      </c>
      <c r="R25" s="4" t="s">
        <v>794</v>
      </c>
      <c r="S25" s="2" t="s">
        <v>475</v>
      </c>
    </row>
    <row r="26" spans="1:19" ht="13.5" customHeight="1" x14ac:dyDescent="0.2">
      <c r="A26" s="10" t="s">
        <v>291</v>
      </c>
      <c r="B26" s="10"/>
      <c r="C26" s="10" t="str" cm="1">
        <f t="array" ref="C26">_xlfn.IFS(S26 = Modules!$A$2,Modules!$B$2,S26 = Modules!$A$3,Modules!$B$3,S26 = Modules!$A$4,Modules!$B$4,S26 = Modules!$A$5,Modules!$B$5,S26 = Modules!$A$6,Modules!$B$6,S26 = Modules!$A$7,Modules!$B$7,S26 = Modules!$A$8,Modules!$B$8,S26 = Modules!$A$9,Modules!$B$9,S26 = Modules!$A$10,Modules!$B$10,S26 = Modules!$A$11,Modules!$B$11,S26 = Modules!$A$12,Modules!$B$12, S26 = Modules!$A$13,Modules!$B$13)</f>
        <v>lab</v>
      </c>
      <c r="D26" s="2" t="s">
        <v>1066</v>
      </c>
      <c r="E26" s="10"/>
      <c r="F26" s="10"/>
      <c r="G26" s="10" t="s">
        <v>1052</v>
      </c>
      <c r="H26" s="10" t="s">
        <v>1053</v>
      </c>
      <c r="I26" s="10"/>
      <c r="J26" s="10" t="str">
        <f t="shared" si="0"/>
        <v>labWorkPartTime55to74Share</v>
      </c>
      <c r="K26" s="6" t="s">
        <v>821</v>
      </c>
      <c r="L26" s="10" t="s">
        <v>1032</v>
      </c>
      <c r="M26" s="10" t="str">
        <f t="shared" si="1"/>
        <v>No</v>
      </c>
      <c r="R26" s="4" t="s">
        <v>794</v>
      </c>
      <c r="S26" s="2" t="s">
        <v>475</v>
      </c>
    </row>
    <row r="27" spans="1:19" ht="13.5" customHeight="1" x14ac:dyDescent="0.2">
      <c r="A27" s="2" t="s">
        <v>175</v>
      </c>
      <c r="C27" s="10" t="str" cm="1">
        <f t="array" ref="C27">_xlfn.IFS(S27 = Modules!$A$2,Modules!$B$2,S27 = Modules!$A$3,Modules!$B$3,S27 = Modules!$A$4,Modules!$B$4,S27 = Modules!$A$5,Modules!$B$5,S27 = Modules!$A$6,Modules!$B$6,S27 = Modules!$A$7,Modules!$B$7,S27 = Modules!$A$8,Modules!$B$8,S27 = Modules!$A$9,Modules!$B$9,S27 = Modules!$A$10,Modules!$B$10,S27 = Modules!$A$11,Modules!$B$11,S27 = Modules!$A$12,Modules!$B$12, S27 = Modules!$A$13,Modules!$B$13)</f>
        <v>y</v>
      </c>
      <c r="D27" s="2" t="s">
        <v>1067</v>
      </c>
      <c r="F27" s="2" t="s">
        <v>1068</v>
      </c>
      <c r="I27" s="2" t="s">
        <v>1069</v>
      </c>
      <c r="J27" s="10" t="str">
        <f t="shared" si="0"/>
        <v>yBenAmountMonth</v>
      </c>
      <c r="K27" s="2" t="s">
        <v>712</v>
      </c>
      <c r="L27" s="2" t="s">
        <v>451</v>
      </c>
      <c r="M27" s="10" t="str">
        <f t="shared" si="1"/>
        <v>No</v>
      </c>
      <c r="S27" s="2" t="s">
        <v>480</v>
      </c>
    </row>
    <row r="28" spans="1:19" ht="13.5" customHeight="1" x14ac:dyDescent="0.2">
      <c r="A28" s="10" t="s">
        <v>331</v>
      </c>
      <c r="B28" s="10"/>
      <c r="C28" s="10" t="str" cm="1">
        <f t="array" ref="C28">_xlfn.IFS(S28 = Modules!$A$2,Modules!$B$2,S28 = Modules!$A$3,Modules!$B$3,S28 = Modules!$A$4,Modules!$B$4,S28 = Modules!$A$5,Modules!$B$5,S28 = Modules!$A$6,Modules!$B$6,S28 = Modules!$A$7,Modules!$B$7,S28 = Modules!$A$8,Modules!$B$8,S28 = Modules!$A$9,Modules!$B$9,S28 = Modules!$A$10,Modules!$B$10,S28 = Modules!$A$11,Modules!$B$11,S28 = Modules!$A$12,Modules!$B$12, S28 = Modules!$A$13,Modules!$B$13)</f>
        <v>dem</v>
      </c>
      <c r="D28" s="2" t="s">
        <v>1070</v>
      </c>
      <c r="E28" s="10"/>
      <c r="F28" s="10"/>
      <c r="G28" s="10"/>
      <c r="H28" s="10" t="s">
        <v>981</v>
      </c>
      <c r="I28" s="10"/>
      <c r="J28" s="10" t="str">
        <f t="shared" si="0"/>
        <v>demBornInSimFlag</v>
      </c>
      <c r="K28" s="2" t="s">
        <v>750</v>
      </c>
      <c r="L28" s="10" t="s">
        <v>334</v>
      </c>
      <c r="M28" s="10" t="str">
        <f t="shared" si="1"/>
        <v>No</v>
      </c>
      <c r="S28" s="2" t="s">
        <v>975</v>
      </c>
    </row>
    <row r="29" spans="1:19" ht="13.5" customHeight="1" x14ac:dyDescent="0.2">
      <c r="A29" s="10" t="s">
        <v>230</v>
      </c>
      <c r="B29" s="10"/>
      <c r="C29" s="10" t="str" cm="1">
        <f t="array" ref="C29">_xlfn.IFS(S29 = Modules!$A$2,Modules!$B$2,S29 = Modules!$A$3,Modules!$B$3,S29 = Modules!$A$4,Modules!$B$4,S29 = Modules!$A$5,Modules!$B$5,S29 = Modules!$A$6,Modules!$B$6,S29 = Modules!$A$7,Modules!$B$7,S29 = Modules!$A$8,Modules!$B$8,S29 = Modules!$A$9,Modules!$B$9,S29 = Modules!$A$10,Modules!$B$10,S29 = Modules!$A$11,Modules!$B$11,S29 = Modules!$A$12,Modules!$B$12, S29 = Modules!$A$13,Modules!$B$13)</f>
        <v>x</v>
      </c>
      <c r="D29" s="2" t="s">
        <v>1071</v>
      </c>
      <c r="E29" s="10"/>
      <c r="F29" s="10"/>
      <c r="G29" s="10" t="s">
        <v>1072</v>
      </c>
      <c r="H29" s="10"/>
      <c r="I29" s="10" t="s">
        <v>1015</v>
      </c>
      <c r="J29" s="10" t="str">
        <f t="shared" si="0"/>
        <v>xCareFormalWeek</v>
      </c>
      <c r="K29" s="2" t="s">
        <v>751</v>
      </c>
      <c r="L29" s="10" t="s">
        <v>334</v>
      </c>
      <c r="M29" s="10" t="str">
        <f t="shared" si="1"/>
        <v>No</v>
      </c>
      <c r="S29" s="2" t="s">
        <v>595</v>
      </c>
    </row>
    <row r="30" spans="1:19" ht="13.5" customHeight="1" x14ac:dyDescent="0.2">
      <c r="A30" s="10" t="s">
        <v>231</v>
      </c>
      <c r="B30" s="10"/>
      <c r="C30" s="10" t="str" cm="1">
        <f t="array" ref="C30">_xlfn.IFS(S30 = Modules!$A$2,Modules!$B$2,S30 = Modules!$A$3,Modules!$B$3,S30 = Modules!$A$4,Modules!$B$4,S30 = Modules!$A$5,Modules!$B$5,S30 = Modules!$A$6,Modules!$B$6,S30 = Modules!$A$7,Modules!$B$7,S30 = Modules!$A$8,Modules!$B$8,S30 = Modules!$A$9,Modules!$B$9,S30 = Modules!$A$10,Modules!$B$10,S30 = Modules!$A$11,Modules!$B$11,S30 = Modules!$A$12,Modules!$B$12, S30 = Modules!$A$13,Modules!$B$13)</f>
        <v>care</v>
      </c>
      <c r="D30" s="2" t="s">
        <v>1060</v>
      </c>
      <c r="E30" s="10"/>
      <c r="F30" s="10"/>
      <c r="G30" s="10" t="s">
        <v>1073</v>
      </c>
      <c r="H30" s="10"/>
      <c r="I30" s="10" t="s">
        <v>1015</v>
      </c>
      <c r="J30" s="10" t="str">
        <f t="shared" si="0"/>
        <v>careHrsFromDaughterWeek</v>
      </c>
      <c r="K30" s="6" t="s">
        <v>752</v>
      </c>
      <c r="L30" s="10" t="s">
        <v>334</v>
      </c>
      <c r="M30" s="10" t="str">
        <f t="shared" si="1"/>
        <v>No</v>
      </c>
      <c r="S30" s="2" t="s">
        <v>971</v>
      </c>
    </row>
    <row r="31" spans="1:19" ht="13.5" customHeight="1" x14ac:dyDescent="0.2">
      <c r="A31" s="10" t="s">
        <v>349</v>
      </c>
      <c r="B31" s="10"/>
      <c r="C31" s="10" t="str" cm="1">
        <f t="array" ref="C31">_xlfn.IFS(S31 = Modules!$A$2,Modules!$B$2,S31 = Modules!$A$3,Modules!$B$3,S31 = Modules!$A$4,Modules!$B$4,S31 = Modules!$A$5,Modules!$B$5,S31 = Modules!$A$6,Modules!$B$6,S31 = Modules!$A$7,Modules!$B$7,S31 = Modules!$A$8,Modules!$B$8,S31 = Modules!$A$9,Modules!$B$9,S31 = Modules!$A$10,Modules!$B$10,S31 = Modules!$A$11,Modules!$B$11,S31 = Modules!$A$12,Modules!$B$12, S31 = Modules!$A$13,Modules!$B$13)</f>
        <v>care</v>
      </c>
      <c r="D31" s="2" t="s">
        <v>1060</v>
      </c>
      <c r="E31" s="10"/>
      <c r="F31" s="10"/>
      <c r="G31" s="10" t="s">
        <v>1073</v>
      </c>
      <c r="H31" s="10"/>
      <c r="I31" s="10" t="s">
        <v>1239</v>
      </c>
      <c r="J31" s="10" t="str">
        <f t="shared" si="0"/>
        <v>careHrsFromDaughterWeekL1</v>
      </c>
      <c r="K31" s="2" t="s">
        <v>758</v>
      </c>
      <c r="L31" s="10" t="s">
        <v>334</v>
      </c>
      <c r="M31" s="10" t="str">
        <f t="shared" si="1"/>
        <v>No</v>
      </c>
      <c r="S31" s="2" t="s">
        <v>971</v>
      </c>
    </row>
    <row r="32" spans="1:19" ht="13.5" customHeight="1" x14ac:dyDescent="0.2">
      <c r="A32" s="10" t="s">
        <v>232</v>
      </c>
      <c r="B32" s="10"/>
      <c r="C32" s="10" t="str" cm="1">
        <f t="array" ref="C32">_xlfn.IFS(S32 = Modules!$A$2,Modules!$B$2,S32 = Modules!$A$3,Modules!$B$3,S32 = Modules!$A$4,Modules!$B$4,S32 = Modules!$A$5,Modules!$B$5,S32 = Modules!$A$6,Modules!$B$6,S32 = Modules!$A$7,Modules!$B$7,S32 = Modules!$A$8,Modules!$B$8,S32 = Modules!$A$9,Modules!$B$9,S32 = Modules!$A$10,Modules!$B$10,S32 = Modules!$A$11,Modules!$B$11,S32 = Modules!$A$12,Modules!$B$12, S32 = Modules!$A$13,Modules!$B$13)</f>
        <v>care</v>
      </c>
      <c r="D32" s="2" t="s">
        <v>1060</v>
      </c>
      <c r="E32" s="10"/>
      <c r="F32" s="10"/>
      <c r="G32" s="10" t="s">
        <v>1072</v>
      </c>
      <c r="H32" s="10"/>
      <c r="I32" s="10" t="s">
        <v>1015</v>
      </c>
      <c r="J32" s="10" t="str">
        <f t="shared" si="0"/>
        <v>careHrsFormalWeek</v>
      </c>
      <c r="K32" s="2" t="s">
        <v>753</v>
      </c>
      <c r="L32" s="10" t="s">
        <v>334</v>
      </c>
      <c r="M32" s="10" t="str">
        <f t="shared" si="1"/>
        <v>No</v>
      </c>
      <c r="S32" s="2" t="s">
        <v>971</v>
      </c>
    </row>
    <row r="33" spans="1:21" ht="13.5" customHeight="1" x14ac:dyDescent="0.2">
      <c r="A33" s="10" t="s">
        <v>350</v>
      </c>
      <c r="B33" s="10"/>
      <c r="C33" s="10" t="str" cm="1">
        <f t="array" ref="C33">_xlfn.IFS(S33 = Modules!$A$2,Modules!$B$2,S33 = Modules!$A$3,Modules!$B$3,S33 = Modules!$A$4,Modules!$B$4,S33 = Modules!$A$5,Modules!$B$5,S33 = Modules!$A$6,Modules!$B$6,S33 = Modules!$A$7,Modules!$B$7,S33 = Modules!$A$8,Modules!$B$8,S33 = Modules!$A$9,Modules!$B$9,S33 = Modules!$A$10,Modules!$B$10,S33 = Modules!$A$11,Modules!$B$11,S33 = Modules!$A$12,Modules!$B$12, S33 = Modules!$A$13,Modules!$B$13)</f>
        <v>care</v>
      </c>
      <c r="D33" s="2" t="s">
        <v>1060</v>
      </c>
      <c r="E33" s="10"/>
      <c r="F33" s="10"/>
      <c r="G33" s="10" t="s">
        <v>1072</v>
      </c>
      <c r="H33" s="10"/>
      <c r="I33" s="10" t="s">
        <v>1239</v>
      </c>
      <c r="J33" s="10" t="str">
        <f t="shared" si="0"/>
        <v>careHrsFormalWeekL1</v>
      </c>
      <c r="K33" s="2" t="s">
        <v>759</v>
      </c>
      <c r="L33" s="10" t="s">
        <v>334</v>
      </c>
      <c r="M33" s="10" t="str">
        <f t="shared" si="1"/>
        <v>No</v>
      </c>
      <c r="S33" s="2" t="s">
        <v>971</v>
      </c>
    </row>
    <row r="34" spans="1:21" ht="13.5" customHeight="1" x14ac:dyDescent="0.2">
      <c r="A34" s="10" t="s">
        <v>233</v>
      </c>
      <c r="B34" s="10"/>
      <c r="C34" s="10" t="str" cm="1">
        <f t="array" ref="C34">_xlfn.IFS(S34 = Modules!$A$2,Modules!$B$2,S34 = Modules!$A$3,Modules!$B$3,S34 = Modules!$A$4,Modules!$B$4,S34 = Modules!$A$5,Modules!$B$5,S34 = Modules!$A$6,Modules!$B$6,S34 = Modules!$A$7,Modules!$B$7,S34 = Modules!$A$8,Modules!$B$8,S34 = Modules!$A$9,Modules!$B$9,S34 = Modules!$A$10,Modules!$B$10,S34 = Modules!$A$11,Modules!$B$11,S34 = Modules!$A$12,Modules!$B$12, S34 = Modules!$A$13,Modules!$B$13)</f>
        <v>care</v>
      </c>
      <c r="D34" s="2" t="s">
        <v>1060</v>
      </c>
      <c r="E34" s="10"/>
      <c r="F34" s="10"/>
      <c r="G34" s="10" t="s">
        <v>1074</v>
      </c>
      <c r="H34" s="10"/>
      <c r="I34" s="10" t="s">
        <v>1015</v>
      </c>
      <c r="J34" s="10" t="str">
        <f t="shared" si="0"/>
        <v>careHrsFromOtherWeek</v>
      </c>
      <c r="K34" s="6" t="s">
        <v>754</v>
      </c>
      <c r="L34" s="10" t="s">
        <v>334</v>
      </c>
      <c r="M34" s="10" t="str">
        <f t="shared" si="1"/>
        <v>No</v>
      </c>
      <c r="S34" s="2" t="s">
        <v>971</v>
      </c>
    </row>
    <row r="35" spans="1:21" ht="13.5" customHeight="1" x14ac:dyDescent="0.2">
      <c r="A35" s="10" t="s">
        <v>351</v>
      </c>
      <c r="B35" s="10"/>
      <c r="C35" s="10" t="str" cm="1">
        <f t="array" ref="C35">_xlfn.IFS(S35 = Modules!$A$2,Modules!$B$2,S35 = Modules!$A$3,Modules!$B$3,S35 = Modules!$A$4,Modules!$B$4,S35 = Modules!$A$5,Modules!$B$5,S35 = Modules!$A$6,Modules!$B$6,S35 = Modules!$A$7,Modules!$B$7,S35 = Modules!$A$8,Modules!$B$8,S35 = Modules!$A$9,Modules!$B$9,S35 = Modules!$A$10,Modules!$B$10,S35 = Modules!$A$11,Modules!$B$11,S35 = Modules!$A$12,Modules!$B$12, S35 = Modules!$A$13,Modules!$B$13)</f>
        <v>care</v>
      </c>
      <c r="D35" s="2" t="s">
        <v>1060</v>
      </c>
      <c r="E35" s="10"/>
      <c r="F35" s="10"/>
      <c r="G35" s="10" t="s">
        <v>1074</v>
      </c>
      <c r="H35" s="10"/>
      <c r="I35" s="10" t="s">
        <v>1239</v>
      </c>
      <c r="J35" s="10" t="str">
        <f t="shared" si="0"/>
        <v>careHrsFromOtherWeekL1</v>
      </c>
      <c r="K35" s="2" t="s">
        <v>760</v>
      </c>
      <c r="L35" s="10" t="s">
        <v>334</v>
      </c>
      <c r="M35" s="10" t="str">
        <f t="shared" si="1"/>
        <v>No</v>
      </c>
      <c r="S35" s="2" t="s">
        <v>971</v>
      </c>
    </row>
    <row r="36" spans="1:21" ht="13.5" customHeight="1" x14ac:dyDescent="0.2">
      <c r="A36" s="10" t="s">
        <v>234</v>
      </c>
      <c r="B36" s="10"/>
      <c r="C36" s="10" t="str" cm="1">
        <f t="array" ref="C36">_xlfn.IFS(S36 = Modules!$A$2,Modules!$B$2,S36 = Modules!$A$3,Modules!$B$3,S36 = Modules!$A$4,Modules!$B$4,S36 = Modules!$A$5,Modules!$B$5,S36 = Modules!$A$6,Modules!$B$6,S36 = Modules!$A$7,Modules!$B$7,S36 = Modules!$A$8,Modules!$B$8,S36 = Modules!$A$9,Modules!$B$9,S36 = Modules!$A$10,Modules!$B$10,S36 = Modules!$A$11,Modules!$B$11,S36 = Modules!$A$12,Modules!$B$12, S36 = Modules!$A$13,Modules!$B$13)</f>
        <v>care</v>
      </c>
      <c r="D36" s="2" t="s">
        <v>1060</v>
      </c>
      <c r="E36" s="10"/>
      <c r="F36" s="10"/>
      <c r="G36" s="10" t="s">
        <v>1075</v>
      </c>
      <c r="H36" s="10"/>
      <c r="I36" s="10" t="s">
        <v>1015</v>
      </c>
      <c r="J36" s="10" t="str">
        <f t="shared" si="0"/>
        <v>careHrsFromParentWeek</v>
      </c>
      <c r="K36" s="2" t="s">
        <v>755</v>
      </c>
      <c r="L36" s="10" t="s">
        <v>334</v>
      </c>
      <c r="M36" s="10" t="str">
        <f t="shared" si="1"/>
        <v>No</v>
      </c>
      <c r="S36" s="2" t="s">
        <v>971</v>
      </c>
    </row>
    <row r="37" spans="1:21" ht="13.5" customHeight="1" x14ac:dyDescent="0.2">
      <c r="A37" s="10" t="s">
        <v>352</v>
      </c>
      <c r="B37" s="10"/>
      <c r="C37" s="10" t="str" cm="1">
        <f t="array" ref="C37">_xlfn.IFS(S37 = Modules!$A$2,Modules!$B$2,S37 = Modules!$A$3,Modules!$B$3,S37 = Modules!$A$4,Modules!$B$4,S37 = Modules!$A$5,Modules!$B$5,S37 = Modules!$A$6,Modules!$B$6,S37 = Modules!$A$7,Modules!$B$7,S37 = Modules!$A$8,Modules!$B$8,S37 = Modules!$A$9,Modules!$B$9,S37 = Modules!$A$10,Modules!$B$10,S37 = Modules!$A$11,Modules!$B$11,S37 = Modules!$A$12,Modules!$B$12, S37 = Modules!$A$13,Modules!$B$13)</f>
        <v>care</v>
      </c>
      <c r="D37" s="2" t="s">
        <v>1060</v>
      </c>
      <c r="E37" s="10"/>
      <c r="F37" s="10"/>
      <c r="G37" s="10" t="s">
        <v>1075</v>
      </c>
      <c r="H37" s="10"/>
      <c r="I37" s="10" t="s">
        <v>1239</v>
      </c>
      <c r="J37" s="10" t="str">
        <f t="shared" si="0"/>
        <v>careHrsFromParentWeekL1</v>
      </c>
      <c r="K37" s="2" t="s">
        <v>761</v>
      </c>
      <c r="L37" s="10" t="s">
        <v>334</v>
      </c>
      <c r="M37" s="10" t="str">
        <f t="shared" si="1"/>
        <v>No</v>
      </c>
      <c r="S37" s="2" t="s">
        <v>971</v>
      </c>
    </row>
    <row r="38" spans="1:21" ht="13.5" customHeight="1" x14ac:dyDescent="0.2">
      <c r="A38" s="10" t="s">
        <v>235</v>
      </c>
      <c r="B38" s="10"/>
      <c r="C38" s="10" t="str" cm="1">
        <f t="array" ref="C38">_xlfn.IFS(S38 = Modules!$A$2,Modules!$B$2,S38 = Modules!$A$3,Modules!$B$3,S38 = Modules!$A$4,Modules!$B$4,S38 = Modules!$A$5,Modules!$B$5,S38 = Modules!$A$6,Modules!$B$6,S38 = Modules!$A$7,Modules!$B$7,S38 = Modules!$A$8,Modules!$B$8,S38 = Modules!$A$9,Modules!$B$9,S38 = Modules!$A$10,Modules!$B$10,S38 = Modules!$A$11,Modules!$B$11,S38 = Modules!$A$12,Modules!$B$12, S38 = Modules!$A$13,Modules!$B$13)</f>
        <v>care</v>
      </c>
      <c r="D38" s="2" t="s">
        <v>1060</v>
      </c>
      <c r="E38" s="10"/>
      <c r="F38" s="10"/>
      <c r="G38" s="10" t="s">
        <v>1076</v>
      </c>
      <c r="H38" s="10"/>
      <c r="I38" s="10" t="s">
        <v>1015</v>
      </c>
      <c r="J38" s="10" t="str">
        <f t="shared" si="0"/>
        <v>careHrsFromPartnerWeek</v>
      </c>
      <c r="K38" s="2" t="s">
        <v>756</v>
      </c>
      <c r="L38" s="10" t="s">
        <v>334</v>
      </c>
      <c r="M38" s="10" t="str">
        <f t="shared" si="1"/>
        <v>No</v>
      </c>
      <c r="S38" s="2" t="s">
        <v>971</v>
      </c>
    </row>
    <row r="39" spans="1:21" ht="13.5" customHeight="1" x14ac:dyDescent="0.2">
      <c r="A39" s="10" t="s">
        <v>353</v>
      </c>
      <c r="B39" s="10"/>
      <c r="C39" s="10" t="str" cm="1">
        <f t="array" ref="C39">_xlfn.IFS(S39 = Modules!$A$2,Modules!$B$2,S39 = Modules!$A$3,Modules!$B$3,S39 = Modules!$A$4,Modules!$B$4,S39 = Modules!$A$5,Modules!$B$5,S39 = Modules!$A$6,Modules!$B$6,S39 = Modules!$A$7,Modules!$B$7,S39 = Modules!$A$8,Modules!$B$8,S39 = Modules!$A$9,Modules!$B$9,S39 = Modules!$A$10,Modules!$B$10,S39 = Modules!$A$11,Modules!$B$11,S39 = Modules!$A$12,Modules!$B$12, S39 = Modules!$A$13,Modules!$B$13)</f>
        <v>care</v>
      </c>
      <c r="D39" s="2" t="s">
        <v>1060</v>
      </c>
      <c r="E39" s="10"/>
      <c r="F39" s="10"/>
      <c r="G39" s="10" t="s">
        <v>1076</v>
      </c>
      <c r="H39" s="10"/>
      <c r="I39" s="10" t="s">
        <v>1239</v>
      </c>
      <c r="J39" s="10" t="str">
        <f t="shared" si="0"/>
        <v>careHrsFromPartnerWeekL1</v>
      </c>
      <c r="K39" s="2" t="s">
        <v>762</v>
      </c>
      <c r="L39" s="10" t="s">
        <v>334</v>
      </c>
      <c r="M39" s="10" t="str">
        <f t="shared" si="1"/>
        <v>No</v>
      </c>
      <c r="S39" s="2" t="s">
        <v>971</v>
      </c>
    </row>
    <row r="40" spans="1:21" ht="13.5" customHeight="1" x14ac:dyDescent="0.2">
      <c r="A40" s="10" t="s">
        <v>236</v>
      </c>
      <c r="B40" s="10"/>
      <c r="C40" s="10" t="str" cm="1">
        <f t="array" ref="C40">_xlfn.IFS(S40 = Modules!$A$2,Modules!$B$2,S40 = Modules!$A$3,Modules!$B$3,S40 = Modules!$A$4,Modules!$B$4,S40 = Modules!$A$5,Modules!$B$5,S40 = Modules!$A$6,Modules!$B$6,S40 = Modules!$A$7,Modules!$B$7,S40 = Modules!$A$8,Modules!$B$8,S40 = Modules!$A$9,Modules!$B$9,S40 = Modules!$A$10,Modules!$B$10,S40 = Modules!$A$11,Modules!$B$11,S40 = Modules!$A$12,Modules!$B$12, S40 = Modules!$A$13,Modules!$B$13)</f>
        <v>care</v>
      </c>
      <c r="D40" s="2" t="s">
        <v>1060</v>
      </c>
      <c r="E40" s="10"/>
      <c r="F40" s="10"/>
      <c r="G40" s="10" t="s">
        <v>1077</v>
      </c>
      <c r="H40" s="10"/>
      <c r="I40" s="10" t="s">
        <v>1015</v>
      </c>
      <c r="J40" s="10" t="str">
        <f t="shared" si="0"/>
        <v>careHrsFromSonWeek</v>
      </c>
      <c r="K40" s="6" t="s">
        <v>757</v>
      </c>
      <c r="L40" s="10" t="s">
        <v>334</v>
      </c>
      <c r="M40" s="10" t="str">
        <f t="shared" si="1"/>
        <v>No</v>
      </c>
      <c r="S40" s="2" t="s">
        <v>971</v>
      </c>
    </row>
    <row r="41" spans="1:21" ht="13.5" customHeight="1" x14ac:dyDescent="0.2">
      <c r="A41" s="10" t="s">
        <v>354</v>
      </c>
      <c r="B41" s="10"/>
      <c r="C41" s="10" t="str" cm="1">
        <f t="array" ref="C41">_xlfn.IFS(S41 = Modules!$A$2,Modules!$B$2,S41 = Modules!$A$3,Modules!$B$3,S41 = Modules!$A$4,Modules!$B$4,S41 = Modules!$A$5,Modules!$B$5,S41 = Modules!$A$6,Modules!$B$6,S41 = Modules!$A$7,Modules!$B$7,S41 = Modules!$A$8,Modules!$B$8,S41 = Modules!$A$9,Modules!$B$9,S41 = Modules!$A$10,Modules!$B$10,S41 = Modules!$A$11,Modules!$B$11,S41 = Modules!$A$12,Modules!$B$12, S41 = Modules!$A$13,Modules!$B$13)</f>
        <v>care</v>
      </c>
      <c r="D41" s="2" t="s">
        <v>1060</v>
      </c>
      <c r="E41" s="10"/>
      <c r="F41" s="10"/>
      <c r="G41" s="10" t="s">
        <v>1077</v>
      </c>
      <c r="H41" s="10"/>
      <c r="I41" s="10" t="s">
        <v>1239</v>
      </c>
      <c r="J41" s="10" t="str">
        <f t="shared" si="0"/>
        <v>careHrsFromSonWeekL1</v>
      </c>
      <c r="K41" s="2" t="s">
        <v>763</v>
      </c>
      <c r="L41" s="10" t="s">
        <v>334</v>
      </c>
      <c r="M41" s="10" t="str">
        <f t="shared" si="1"/>
        <v>No</v>
      </c>
      <c r="S41" s="2" t="s">
        <v>971</v>
      </c>
    </row>
    <row r="42" spans="1:21" ht="13.5" customHeight="1" x14ac:dyDescent="0.2">
      <c r="A42" s="2" t="s">
        <v>154</v>
      </c>
      <c r="C42" s="10" t="str" cm="1">
        <f t="array" ref="C42">_xlfn.IFS(S42 = Modules!$A$2,Modules!$B$2,S42 = Modules!$A$3,Modules!$B$3,S42 = Modules!$A$4,Modules!$B$4,S42 = Modules!$A$5,Modules!$B$5,S42 = Modules!$A$6,Modules!$B$6,S42 = Modules!$A$7,Modules!$B$7,S42 = Modules!$A$8,Modules!$B$8,S42 = Modules!$A$9,Modules!$B$9,S42 = Modules!$A$10,Modules!$B$10,S42 = Modules!$A$11,Modules!$B$11,S42 = Modules!$A$12,Modules!$B$12, S42 = Modules!$A$13,Modules!$B$13)</f>
        <v>care</v>
      </c>
      <c r="D42" s="2" t="s">
        <v>1060</v>
      </c>
      <c r="G42" s="2" t="s">
        <v>1061</v>
      </c>
      <c r="I42" s="10" t="s">
        <v>1015</v>
      </c>
      <c r="J42" s="10" t="str">
        <f t="shared" si="0"/>
        <v>careHrsProvidedWeek</v>
      </c>
      <c r="K42" s="2" t="s">
        <v>689</v>
      </c>
      <c r="L42" s="8" t="s">
        <v>334</v>
      </c>
      <c r="M42" s="10" t="str">
        <f t="shared" si="1"/>
        <v>Yes</v>
      </c>
      <c r="N42" s="2" t="s">
        <v>159</v>
      </c>
      <c r="O42" s="2" t="s">
        <v>691</v>
      </c>
      <c r="S42" s="2" t="s">
        <v>971</v>
      </c>
      <c r="U42" s="2" t="s">
        <v>690</v>
      </c>
    </row>
    <row r="43" spans="1:21" ht="13.5" customHeight="1" x14ac:dyDescent="0.2">
      <c r="A43" s="10" t="s">
        <v>237</v>
      </c>
      <c r="B43" s="10"/>
      <c r="C43" s="10" t="str" cm="1">
        <f t="array" ref="C43">_xlfn.IFS(S43 = Modules!$A$2,Modules!$B$2,S43 = Modules!$A$3,Modules!$B$3,S43 = Modules!$A$4,Modules!$B$4,S43 = Modules!$A$5,Modules!$B$5,S43 = Modules!$A$6,Modules!$B$6,S43 = Modules!$A$7,Modules!$B$7,S43 = Modules!$A$8,Modules!$B$8,S43 = Modules!$A$9,Modules!$B$9,S43 = Modules!$A$10,Modules!$B$10,S43 = Modules!$A$11,Modules!$B$11,S43 = Modules!$A$12,Modules!$B$12, S43 = Modules!$A$13,Modules!$B$13)</f>
        <v>care</v>
      </c>
      <c r="D43" s="2" t="s">
        <v>1060</v>
      </c>
      <c r="E43" s="10"/>
      <c r="F43" s="10"/>
      <c r="G43" s="2" t="s">
        <v>1061</v>
      </c>
      <c r="H43" s="10"/>
      <c r="I43" s="10" t="s">
        <v>1015</v>
      </c>
      <c r="J43" s="10" t="str">
        <f t="shared" si="0"/>
        <v>careHrsProvidedWeek</v>
      </c>
      <c r="K43" s="2" t="s">
        <v>764</v>
      </c>
      <c r="L43" s="10" t="s">
        <v>334</v>
      </c>
      <c r="M43" s="10" t="str">
        <f t="shared" si="1"/>
        <v>No</v>
      </c>
      <c r="S43" s="2" t="s">
        <v>971</v>
      </c>
      <c r="U43" s="2" t="s">
        <v>765</v>
      </c>
    </row>
    <row r="44" spans="1:21" ht="13.5" customHeight="1" x14ac:dyDescent="0.2">
      <c r="A44" s="2" t="s">
        <v>160</v>
      </c>
      <c r="C44" s="10" t="str" cm="1">
        <f t="array" ref="C44">_xlfn.IFS(S44 = Modules!$A$2,Modules!$B$2,S44 = Modules!$A$3,Modules!$B$3,S44 = Modules!$A$4,Modules!$B$4,S44 = Modules!$A$5,Modules!$B$5,S44 = Modules!$A$6,Modules!$B$6,S44 = Modules!$A$7,Modules!$B$7,S44 = Modules!$A$8,Modules!$B$8,S44 = Modules!$A$9,Modules!$B$9,S44 = Modules!$A$10,Modules!$B$10,S44 = Modules!$A$11,Modules!$B$11,S44 = Modules!$A$12,Modules!$B$12, S44 = Modules!$A$13,Modules!$B$13)</f>
        <v>care</v>
      </c>
      <c r="G44" s="2" t="s">
        <v>1078</v>
      </c>
      <c r="J44" s="10" t="str">
        <f t="shared" si="0"/>
        <v>careWho</v>
      </c>
      <c r="K44" s="2" t="s">
        <v>693</v>
      </c>
      <c r="L44" s="8" t="s">
        <v>170</v>
      </c>
      <c r="M44" s="10" t="str">
        <f t="shared" si="1"/>
        <v>Yes</v>
      </c>
      <c r="N44" s="2" t="s">
        <v>692</v>
      </c>
      <c r="O44" s="2" t="s">
        <v>691</v>
      </c>
      <c r="S44" s="2" t="s">
        <v>971</v>
      </c>
    </row>
    <row r="45" spans="1:21" ht="13.5" customHeight="1" x14ac:dyDescent="0.2">
      <c r="A45" s="2" t="s">
        <v>176</v>
      </c>
      <c r="C45" s="10" t="str" cm="1">
        <f t="array" ref="C45">_xlfn.IFS(S45 = Modules!$A$2,Modules!$B$2,S45 = Modules!$A$3,Modules!$B$3,S45 = Modules!$A$4,Modules!$B$4,S45 = Modules!$A$5,Modules!$B$5,S45 = Modules!$A$6,Modules!$B$6,S45 = Modules!$A$7,Modules!$B$7,S45 = Modules!$A$8,Modules!$B$8,S45 = Modules!$A$9,Modules!$B$9,S45 = Modules!$A$10,Modules!$B$10,S45 = Modules!$A$11,Modules!$B$11,S45 = Modules!$A$12,Modules!$B$12, S45 = Modules!$A$13,Modules!$B$13)</f>
        <v>x</v>
      </c>
      <c r="D45" s="2" t="s">
        <v>1079</v>
      </c>
      <c r="I45" s="2" t="s">
        <v>1015</v>
      </c>
      <c r="J45" s="10" t="str">
        <f t="shared" si="0"/>
        <v>xChildCareWeek</v>
      </c>
      <c r="K45" s="2" t="s">
        <v>713</v>
      </c>
      <c r="L45" s="2" t="s">
        <v>451</v>
      </c>
      <c r="M45" s="10" t="str">
        <f t="shared" si="1"/>
        <v>No</v>
      </c>
      <c r="S45" s="2" t="s">
        <v>595</v>
      </c>
    </row>
    <row r="46" spans="1:21" ht="13.5" customHeight="1" x14ac:dyDescent="0.2">
      <c r="A46" s="10" t="s">
        <v>238</v>
      </c>
      <c r="B46" s="10"/>
      <c r="C46" s="10" t="str" cm="1">
        <f t="array" ref="C46">_xlfn.IFS(S46 = Modules!$A$2,Modules!$B$2,S46 = Modules!$A$3,Modules!$B$3,S46 = Modules!$A$4,Modules!$B$4,S46 = Modules!$A$5,Modules!$B$5,S46 = Modules!$A$6,Modules!$B$6,S46 = Modules!$A$7,Modules!$B$7,S46 = Modules!$A$8,Modules!$B$8,S46 = Modules!$A$9,Modules!$B$9,S46 = Modules!$A$10,Modules!$B$10,S46 = Modules!$A$11,Modules!$B$11,S46 = Modules!$A$12,Modules!$B$12, S46 = Modules!$A$13,Modules!$B$13)</f>
        <v>dem</v>
      </c>
      <c r="D46" s="2" t="s">
        <v>1080</v>
      </c>
      <c r="E46" s="10"/>
      <c r="F46" s="10"/>
      <c r="G46" s="10"/>
      <c r="H46" s="10" t="s">
        <v>981</v>
      </c>
      <c r="I46" s="10"/>
      <c r="J46" s="10" t="str">
        <f t="shared" si="0"/>
        <v>demClonedFlag</v>
      </c>
      <c r="K46" s="2" t="s">
        <v>1247</v>
      </c>
      <c r="L46" s="10" t="s">
        <v>334</v>
      </c>
      <c r="M46" s="10" t="str">
        <f t="shared" si="1"/>
        <v>No</v>
      </c>
      <c r="S46" s="2" t="s">
        <v>975</v>
      </c>
    </row>
    <row r="47" spans="1:21" ht="13.5" customHeight="1" x14ac:dyDescent="0.2">
      <c r="A47" s="2" t="s">
        <v>407</v>
      </c>
      <c r="C47" s="10" t="str" cm="1">
        <f t="array" ref="C47">_xlfn.IFS(S47 = Modules!$A$2,Modules!$B$2,S47 = Modules!$A$3,Modules!$B$3,S47 = Modules!$A$4,Modules!$B$4,S47 = Modules!$A$5,Modules!$B$5,S47 = Modules!$A$6,Modules!$B$6,S47 = Modules!$A$7,Modules!$B$7,S47 = Modules!$A$8,Modules!$B$8,S47 = Modules!$A$9,Modules!$B$9,S47 = Modules!$A$10,Modules!$B$10,S47 = Modules!$A$11,Modules!$B$11,S47 = Modules!$A$12,Modules!$B$12, S47 = Modules!$A$13,Modules!$B$13)</f>
        <v>covid</v>
      </c>
      <c r="D47" s="2" t="s">
        <v>1083</v>
      </c>
      <c r="F47" s="2" t="s">
        <v>580</v>
      </c>
      <c r="J47" s="10" t="str">
        <f t="shared" si="0"/>
        <v>covidYLabGross</v>
      </c>
      <c r="K47" s="2" t="s">
        <v>880</v>
      </c>
      <c r="L47" s="2" t="s">
        <v>334</v>
      </c>
      <c r="M47" s="10" t="str">
        <f t="shared" si="1"/>
        <v>No</v>
      </c>
      <c r="S47" s="2" t="s">
        <v>974</v>
      </c>
    </row>
    <row r="48" spans="1:21" ht="13.5" customHeight="1" x14ac:dyDescent="0.2">
      <c r="A48" s="2" t="s">
        <v>409</v>
      </c>
      <c r="C48" s="10" t="str" cm="1">
        <f t="array" ref="C48">_xlfn.IFS(S48 = Modules!$A$2,Modules!$B$2,S48 = Modules!$A$3,Modules!$B$3,S48 = Modules!$A$4,Modules!$B$4,S48 = Modules!$A$5,Modules!$B$5,S48 = Modules!$A$6,Modules!$B$6,S48 = Modules!$A$7,Modules!$B$7,S48 = Modules!$A$8,Modules!$B$8,S48 = Modules!$A$9,Modules!$B$9,S48 = Modules!$A$10,Modules!$B$10,S48 = Modules!$A$11,Modules!$B$11,S48 = Modules!$A$12,Modules!$B$12, S48 = Modules!$A$13,Modules!$B$13)</f>
        <v>covid</v>
      </c>
      <c r="D48" s="2" t="s">
        <v>1083</v>
      </c>
      <c r="F48" s="2" t="s">
        <v>580</v>
      </c>
      <c r="I48" s="2" t="s">
        <v>1063</v>
      </c>
      <c r="J48" s="10" t="str">
        <f t="shared" si="0"/>
        <v>covidYLabGrossL1</v>
      </c>
      <c r="K48" s="2" t="s">
        <v>878</v>
      </c>
      <c r="L48" s="2" t="s">
        <v>334</v>
      </c>
      <c r="M48" s="10" t="str">
        <f t="shared" si="1"/>
        <v>No</v>
      </c>
      <c r="S48" s="2" t="s">
        <v>974</v>
      </c>
    </row>
    <row r="49" spans="1:21" ht="13.5" customHeight="1" x14ac:dyDescent="0.2">
      <c r="A49" s="10" t="s">
        <v>239</v>
      </c>
      <c r="B49" s="10"/>
      <c r="C49" s="10" t="str" cm="1">
        <f t="array" ref="C49">_xlfn.IFS(S49 = Modules!$A$2,Modules!$B$2,S49 = Modules!$A$3,Modules!$B$3,S49 = Modules!$A$4,Modules!$B$4,S49 = Modules!$A$5,Modules!$B$5,S49 = Modules!$A$6,Modules!$B$6,S49 = Modules!$A$7,Modules!$B$7,S49 = Modules!$A$8,Modules!$B$8,S49 = Modules!$A$9,Modules!$B$9,S49 = Modules!$A$10,Modules!$B$10,S49 = Modules!$A$11,Modules!$B$11,S49 = Modules!$A$12,Modules!$B$12, S49 = Modules!$A$13,Modules!$B$13)</f>
        <v>covid</v>
      </c>
      <c r="D49" s="6" t="s">
        <v>1083</v>
      </c>
      <c r="E49" s="6"/>
      <c r="F49" s="6" t="s">
        <v>580</v>
      </c>
      <c r="G49" s="6" t="s">
        <v>1084</v>
      </c>
      <c r="H49" s="6"/>
      <c r="I49" s="6"/>
      <c r="J49" s="10" t="str">
        <f t="shared" si="0"/>
        <v>covidYLabGrossXt5</v>
      </c>
      <c r="K49" s="2" t="s">
        <v>1248</v>
      </c>
      <c r="L49" s="10" t="s">
        <v>334</v>
      </c>
      <c r="M49" s="10" t="str">
        <f t="shared" si="1"/>
        <v>No</v>
      </c>
      <c r="S49" s="2" t="s">
        <v>974</v>
      </c>
      <c r="U49" s="2" t="s">
        <v>766</v>
      </c>
    </row>
    <row r="50" spans="1:21" ht="13.5" customHeight="1" x14ac:dyDescent="0.2">
      <c r="A50" s="2" t="s">
        <v>408</v>
      </c>
      <c r="C50" s="10" t="str" cm="1">
        <f t="array" ref="C50">_xlfn.IFS(S50 = Modules!$A$2,Modules!$B$2,S50 = Modules!$A$3,Modules!$B$3,S50 = Modules!$A$4,Modules!$B$4,S50 = Modules!$A$5,Modules!$B$5,S50 = Modules!$A$6,Modules!$B$6,S50 = Modules!$A$7,Modules!$B$7,S50 = Modules!$A$8,Modules!$B$8,S50 = Modules!$A$9,Modules!$B$9,S50 = Modules!$A$10,Modules!$B$10,S50 = Modules!$A$11,Modules!$B$11,S50 = Modules!$A$12,Modules!$B$12, S50 = Modules!$A$13,Modules!$B$13)</f>
        <v>covid</v>
      </c>
      <c r="D50" s="2" t="s">
        <v>1146</v>
      </c>
      <c r="G50" s="2" t="s">
        <v>1145</v>
      </c>
      <c r="H50" s="2" t="s">
        <v>981</v>
      </c>
      <c r="J50" s="10" t="str">
        <f t="shared" si="0"/>
        <v>covidSEISSReceivedFlag</v>
      </c>
      <c r="K50" s="2" t="s">
        <v>879</v>
      </c>
      <c r="L50" s="2" t="s">
        <v>334</v>
      </c>
      <c r="M50" s="10" t="str">
        <f t="shared" si="1"/>
        <v>No</v>
      </c>
      <c r="S50" s="2" t="s">
        <v>974</v>
      </c>
    </row>
    <row r="51" spans="1:21" ht="13.5" customHeight="1" x14ac:dyDescent="0.2">
      <c r="A51" s="2" t="s">
        <v>177</v>
      </c>
      <c r="C51" s="10" t="str" cm="1">
        <f t="array" ref="C51">_xlfn.IFS(S51 = Modules!$A$2,Modules!$B$2,S51 = Modules!$A$3,Modules!$B$3,S51 = Modules!$A$4,Modules!$B$4,S51 = Modules!$A$5,Modules!$B$5,S51 = Modules!$A$6,Modules!$B$6,S51 = Modules!$A$7,Modules!$B$7,S51 = Modules!$A$8,Modules!$B$8,S51 = Modules!$A$9,Modules!$B$9,S51 = Modules!$A$10,Modules!$B$10,S51 = Modules!$A$11,Modules!$B$11,S51 = Modules!$A$12,Modules!$B$12, S51 = Modules!$A$13,Modules!$B$13)</f>
        <v>dem</v>
      </c>
      <c r="D51" s="2" t="s">
        <v>1085</v>
      </c>
      <c r="J51" s="10" t="str">
        <f t="shared" si="0"/>
        <v>demCreatedByConstructor</v>
      </c>
      <c r="K51" s="2" t="s">
        <v>1393</v>
      </c>
      <c r="L51" s="2" t="s">
        <v>451</v>
      </c>
      <c r="M51" s="10" t="str">
        <f t="shared" si="1"/>
        <v>No</v>
      </c>
      <c r="S51" s="2" t="s">
        <v>975</v>
      </c>
    </row>
    <row r="52" spans="1:21" ht="32" x14ac:dyDescent="0.2">
      <c r="A52" s="2" t="s">
        <v>15</v>
      </c>
      <c r="C52" s="10" t="str" cm="1">
        <f t="array" ref="C52">_xlfn.IFS(S52 = Modules!$A$2,Modules!$B$2,S52 = Modules!$A$3,Modules!$B$3,S52 = Modules!$A$4,Modules!$B$4,S52 = Modules!$A$5,Modules!$B$5,S52 = Modules!$A$6,Modules!$B$6,S52 = Modules!$A$7,Modules!$B$7,S52 = Modules!$A$8,Modules!$B$8,S52 = Modules!$A$9,Modules!$B$9,S52 = Modules!$A$10,Modules!$B$10,S52 = Modules!$A$11,Modules!$B$11,S52 = Modules!$A$12,Modules!$B$12, S52 = Modules!$A$13,Modules!$B$13)</f>
        <v>dem</v>
      </c>
      <c r="D52" s="2" t="s">
        <v>468</v>
      </c>
      <c r="J52" s="10" t="str">
        <f t="shared" si="0"/>
        <v>demAge</v>
      </c>
      <c r="K52" s="2" t="s">
        <v>468</v>
      </c>
      <c r="L52" s="2" t="s">
        <v>334</v>
      </c>
      <c r="M52" s="10" t="str">
        <f t="shared" si="1"/>
        <v>Yes</v>
      </c>
      <c r="N52" s="2" t="s">
        <v>52</v>
      </c>
      <c r="O52" s="4" t="s">
        <v>521</v>
      </c>
      <c r="P52" s="4" t="s">
        <v>1260</v>
      </c>
      <c r="Q52" s="2" t="s">
        <v>1253</v>
      </c>
      <c r="S52" s="4" t="s">
        <v>975</v>
      </c>
      <c r="U52" s="2" t="s">
        <v>66</v>
      </c>
    </row>
    <row r="53" spans="1:21" ht="48" x14ac:dyDescent="0.2">
      <c r="A53" s="6" t="s">
        <v>1284</v>
      </c>
      <c r="C53" s="2" t="str" cm="1">
        <f t="array" ref="C53">_xlfn.IFS(S53 = Modules!$A$2,Modules!$B$2,S53 = Modules!$A$3,Modules!$B$3,S53 = Modules!$A$4,Modules!$B$4,S53 = Modules!$A$5,Modules!$B$5,S53 = Modules!$A$6,Modules!$B$6,S53 = Modules!$A$7,Modules!$B$7,S53 = Modules!$A$8,Modules!$B$8,S53 = Modules!$A$9,Modules!$B$9,S53 = Modules!$A$10,Modules!$B$10,S53 = Modules!$A$11,Modules!$B$11,S53 = Modules!$A$12,Modules!$B$12, S53 = Modules!$A$13,Modules!$B$13)</f>
        <v>dem</v>
      </c>
      <c r="D53" s="2" t="s">
        <v>1206</v>
      </c>
      <c r="G53" s="2" t="s">
        <v>468</v>
      </c>
      <c r="H53" s="2" t="s">
        <v>981</v>
      </c>
      <c r="J53" s="2" t="str">
        <f t="shared" si="0"/>
        <v>demPensAgeFlag</v>
      </c>
      <c r="K53" s="2" t="s">
        <v>1340</v>
      </c>
      <c r="M53" s="10" t="str">
        <f t="shared" si="1"/>
        <v>Yes</v>
      </c>
      <c r="N53" s="6"/>
      <c r="O53" s="6"/>
      <c r="P53" s="6" t="s">
        <v>1343</v>
      </c>
      <c r="Q53" s="6" t="s">
        <v>1253</v>
      </c>
      <c r="S53" s="6" t="s">
        <v>975</v>
      </c>
      <c r="U53" s="6"/>
    </row>
    <row r="54" spans="1:21" ht="13.5" customHeight="1" x14ac:dyDescent="0.2">
      <c r="A54" s="6" t="s">
        <v>1287</v>
      </c>
      <c r="C54" s="2" t="str" cm="1">
        <f t="array" ref="C54">_xlfn.IFS(S54 = Modules!$A$2,Modules!$B$2,S54 = Modules!$A$3,Modules!$B$3,S54 = Modules!$A$4,Modules!$B$4,S54 = Modules!$A$5,Modules!$B$5,S54 = Modules!$A$6,Modules!$B$6,S54 = Modules!$A$7,Modules!$B$7,S54 = Modules!$A$8,Modules!$B$8,S54 = Modules!$A$9,Modules!$B$9,S54 = Modules!$A$10,Modules!$B$10,S54 = Modules!$A$11,Modules!$B$11,S54 = Modules!$A$12,Modules!$B$12, S54 = Modules!$A$13,Modules!$B$13)</f>
        <v>dem</v>
      </c>
      <c r="D54" s="2" t="s">
        <v>1206</v>
      </c>
      <c r="E54" s="2" t="s">
        <v>1087</v>
      </c>
      <c r="G54" s="2" t="s">
        <v>468</v>
      </c>
      <c r="H54" s="2" t="s">
        <v>981</v>
      </c>
      <c r="J54" s="2" t="str">
        <f t="shared" si="0"/>
        <v>demPensPartnerAgeFlag</v>
      </c>
      <c r="K54" s="2" t="s">
        <v>1344</v>
      </c>
      <c r="M54" s="10" t="str">
        <f t="shared" si="1"/>
        <v>Yes</v>
      </c>
      <c r="P54" s="6" t="s">
        <v>1347</v>
      </c>
      <c r="Q54" s="6" t="s">
        <v>1253</v>
      </c>
      <c r="S54" s="6" t="s">
        <v>975</v>
      </c>
    </row>
    <row r="55" spans="1:21" ht="13.5" customHeight="1" x14ac:dyDescent="0.2">
      <c r="A55" s="6" t="s">
        <v>1285</v>
      </c>
      <c r="C55" s="2" t="str" cm="1">
        <f t="array" ref="C55">_xlfn.IFS(S55 = Modules!$A$2,Modules!$B$2,S55 = Modules!$A$3,Modules!$B$3,S55 = Modules!$A$4,Modules!$B$4,S55 = Modules!$A$5,Modules!$B$5,S55 = Modules!$A$6,Modules!$B$6,S55 = Modules!$A$7,Modules!$B$7,S55 = Modules!$A$8,Modules!$B$8,S55 = Modules!$A$9,Modules!$B$9,S55 = Modules!$A$10,Modules!$B$10,S55 = Modules!$A$11,Modules!$B$11,S55 = Modules!$A$12,Modules!$B$12, S55 = Modules!$A$13,Modules!$B$13)</f>
        <v>dem</v>
      </c>
      <c r="D55" s="2" t="s">
        <v>1206</v>
      </c>
      <c r="F55" s="2" t="s">
        <v>1089</v>
      </c>
      <c r="G55" s="2" t="s">
        <v>468</v>
      </c>
      <c r="H55" s="2" t="s">
        <v>981</v>
      </c>
      <c r="J55" s="2" t="str">
        <f t="shared" si="0"/>
        <v>demPensEnterAgeFlag</v>
      </c>
      <c r="K55" s="2" t="s">
        <v>1341</v>
      </c>
      <c r="M55" s="10" t="str">
        <f t="shared" si="1"/>
        <v>Yes</v>
      </c>
      <c r="P55" s="6" t="s">
        <v>1343</v>
      </c>
      <c r="Q55" s="6" t="s">
        <v>1253</v>
      </c>
      <c r="S55" s="6" t="s">
        <v>975</v>
      </c>
    </row>
    <row r="56" spans="1:21" ht="13.5" customHeight="1" x14ac:dyDescent="0.2">
      <c r="A56" s="6" t="s">
        <v>1288</v>
      </c>
      <c r="C56" s="2" t="str" cm="1">
        <f t="array" ref="C56">_xlfn.IFS(S56 = Modules!$A$2,Modules!$B$2,S56 = Modules!$A$3,Modules!$B$3,S56 = Modules!$A$4,Modules!$B$4,S56 = Modules!$A$5,Modules!$B$5,S56 = Modules!$A$6,Modules!$B$6,S56 = Modules!$A$7,Modules!$B$7,S56 = Modules!$A$8,Modules!$B$8,S56 = Modules!$A$9,Modules!$B$9,S56 = Modules!$A$10,Modules!$B$10,S56 = Modules!$A$11,Modules!$B$11,S56 = Modules!$A$12,Modules!$B$12, S56 = Modules!$A$13,Modules!$B$13)</f>
        <v>dem</v>
      </c>
      <c r="D56" s="2" t="s">
        <v>1206</v>
      </c>
      <c r="E56" s="2" t="s">
        <v>1087</v>
      </c>
      <c r="F56" s="2" t="s">
        <v>1089</v>
      </c>
      <c r="G56" s="2" t="s">
        <v>468</v>
      </c>
      <c r="H56" s="2" t="s">
        <v>981</v>
      </c>
      <c r="J56" s="2" t="str">
        <f t="shared" si="0"/>
        <v>demPensPartnerEnterAgeFlag</v>
      </c>
      <c r="K56" s="2" t="s">
        <v>1345</v>
      </c>
      <c r="M56" s="10" t="str">
        <f t="shared" si="1"/>
        <v>Yes</v>
      </c>
      <c r="P56" s="6" t="s">
        <v>1347</v>
      </c>
      <c r="Q56" s="6" t="s">
        <v>1253</v>
      </c>
      <c r="S56" s="6" t="s">
        <v>975</v>
      </c>
    </row>
    <row r="57" spans="1:21" ht="13.5" customHeight="1" x14ac:dyDescent="0.2">
      <c r="A57" s="6" t="s">
        <v>1286</v>
      </c>
      <c r="C57" s="2" t="str" cm="1">
        <f t="array" ref="C57">_xlfn.IFS(S57 = Modules!$A$2,Modules!$B$2,S57 = Modules!$A$3,Modules!$B$3,S57 = Modules!$A$4,Modules!$B$4,S57 = Modules!$A$5,Modules!$B$5,S57 = Modules!$A$6,Modules!$B$6,S57 = Modules!$A$7,Modules!$B$7,S57 = Modules!$A$8,Modules!$B$8,S57 = Modules!$A$9,Modules!$B$9,S57 = Modules!$A$10,Modules!$B$10,S57 = Modules!$A$11,Modules!$B$11,S57 = Modules!$A$12,Modules!$B$12, S57 = Modules!$A$13,Modules!$B$13)</f>
        <v>dem</v>
      </c>
      <c r="D57" s="2" t="s">
        <v>1206</v>
      </c>
      <c r="F57" s="2" t="s">
        <v>1089</v>
      </c>
      <c r="G57" s="2" t="s">
        <v>468</v>
      </c>
      <c r="H57" s="2" t="s">
        <v>981</v>
      </c>
      <c r="I57" s="2" t="s">
        <v>1063</v>
      </c>
      <c r="J57" s="2" t="str">
        <f t="shared" si="0"/>
        <v>demPensEnterAgeFlagL1</v>
      </c>
      <c r="K57" s="2" t="s">
        <v>1342</v>
      </c>
      <c r="M57" s="10" t="str">
        <f t="shared" si="1"/>
        <v>Yes</v>
      </c>
      <c r="P57" s="6" t="s">
        <v>1343</v>
      </c>
      <c r="Q57" s="6" t="s">
        <v>1253</v>
      </c>
      <c r="S57" s="6" t="s">
        <v>975</v>
      </c>
    </row>
    <row r="58" spans="1:21" ht="48" x14ac:dyDescent="0.2">
      <c r="A58" s="6" t="s">
        <v>1289</v>
      </c>
      <c r="C58" s="2" t="str" cm="1">
        <f t="array" ref="C58">_xlfn.IFS(S58 = Modules!$A$2,Modules!$B$2,S58 = Modules!$A$3,Modules!$B$3,S58 = Modules!$A$4,Modules!$B$4,S58 = Modules!$A$5,Modules!$B$5,S58 = Modules!$A$6,Modules!$B$6,S58 = Modules!$A$7,Modules!$B$7,S58 = Modules!$A$8,Modules!$B$8,S58 = Modules!$A$9,Modules!$B$9,S58 = Modules!$A$10,Modules!$B$10,S58 = Modules!$A$11,Modules!$B$11,S58 = Modules!$A$12,Modules!$B$12, S58 = Modules!$A$13,Modules!$B$13)</f>
        <v>dem</v>
      </c>
      <c r="D58" s="2" t="s">
        <v>1206</v>
      </c>
      <c r="E58" s="2" t="s">
        <v>1087</v>
      </c>
      <c r="F58" s="2" t="s">
        <v>1089</v>
      </c>
      <c r="G58" s="2" t="s">
        <v>468</v>
      </c>
      <c r="H58" s="2" t="s">
        <v>981</v>
      </c>
      <c r="I58" s="2" t="s">
        <v>1063</v>
      </c>
      <c r="J58" s="2" t="str">
        <f t="shared" si="0"/>
        <v>demPensPartnerEnterAgeFlagL1</v>
      </c>
      <c r="K58" s="2" t="s">
        <v>1346</v>
      </c>
      <c r="M58" s="10" t="str">
        <f t="shared" si="1"/>
        <v>Yes</v>
      </c>
      <c r="P58" s="6" t="s">
        <v>1347</v>
      </c>
      <c r="Q58" s="6" t="s">
        <v>1253</v>
      </c>
      <c r="S58" s="6" t="s">
        <v>975</v>
      </c>
    </row>
    <row r="59" spans="1:21" ht="32" x14ac:dyDescent="0.2">
      <c r="A59" s="2" t="s">
        <v>136</v>
      </c>
      <c r="C59" s="10" t="str" cm="1">
        <f t="array" ref="C59">_xlfn.IFS(S59 = Modules!$A$2,Modules!$B$2,S59 = Modules!$A$3,Modules!$B$3,S59 = Modules!$A$4,Modules!$B$4,S59 = Modules!$A$5,Modules!$B$5,S59 = Modules!$A$6,Modules!$B$6,S59 = Modules!$A$7,Modules!$B$7,S59 = Modules!$A$8,Modules!$B$8,S59 = Modules!$A$9,Modules!$B$9,S59 = Modules!$A$10,Modules!$B$10,S59 = Modules!$A$11,Modules!$B$11,S59 = Modules!$A$12,Modules!$B$12, S59 = Modules!$A$13,Modules!$B$13)</f>
        <v>dem</v>
      </c>
      <c r="D59" s="2" t="s">
        <v>468</v>
      </c>
      <c r="E59" s="2" t="s">
        <v>1087</v>
      </c>
      <c r="J59" s="10" t="str">
        <f t="shared" si="0"/>
        <v>demAgePartner</v>
      </c>
      <c r="K59" s="2" t="s">
        <v>662</v>
      </c>
      <c r="L59" s="8" t="s">
        <v>170</v>
      </c>
      <c r="M59" s="10" t="str">
        <f t="shared" si="1"/>
        <v>Yes</v>
      </c>
      <c r="N59" s="2" t="s">
        <v>663</v>
      </c>
      <c r="O59" s="2" t="s">
        <v>521</v>
      </c>
      <c r="P59" s="2" t="s">
        <v>1266</v>
      </c>
      <c r="S59" s="2" t="s">
        <v>975</v>
      </c>
    </row>
    <row r="60" spans="1:21" ht="13.5" customHeight="1" x14ac:dyDescent="0.2">
      <c r="A60" s="2" t="s">
        <v>514</v>
      </c>
      <c r="C60" s="10" t="str" cm="1">
        <f t="array" ref="C60">_xlfn.IFS(S60 = Modules!$A$2,Modules!$B$2,S60 = Modules!$A$3,Modules!$B$3,S60 = Modules!$A$4,Modules!$B$4,S60 = Modules!$A$5,Modules!$B$5,S60 = Modules!$A$6,Modules!$B$6,S60 = Modules!$A$7,Modules!$B$7,S60 = Modules!$A$8,Modules!$B$8,S60 = Modules!$A$9,Modules!$B$9,S60 = Modules!$A$10,Modules!$B$10,S60 = Modules!$A$11,Modules!$B$11,S60 = Modules!$A$12,Modules!$B$12, S60 = Modules!$A$13,Modules!$B$13)</f>
        <v>dem</v>
      </c>
      <c r="D60" s="2" t="s">
        <v>468</v>
      </c>
      <c r="H60" s="2" t="s">
        <v>1088</v>
      </c>
      <c r="J60" s="10" t="str">
        <f t="shared" si="0"/>
        <v>demAgeSq</v>
      </c>
      <c r="K60" s="2" t="s">
        <v>469</v>
      </c>
      <c r="L60" s="2" t="s">
        <v>334</v>
      </c>
      <c r="M60" s="10" t="str">
        <f t="shared" si="1"/>
        <v>Yes</v>
      </c>
      <c r="N60" s="2" t="s">
        <v>52</v>
      </c>
      <c r="O60" s="4" t="s">
        <v>521</v>
      </c>
      <c r="P60" s="4"/>
      <c r="Q60" s="4"/>
      <c r="S60" s="4" t="s">
        <v>975</v>
      </c>
      <c r="U60" s="2" t="s">
        <v>67</v>
      </c>
    </row>
    <row r="61" spans="1:21" ht="13.5" customHeight="1" x14ac:dyDescent="0.2">
      <c r="A61" s="10" t="s">
        <v>150</v>
      </c>
      <c r="B61" s="10"/>
      <c r="C61" s="10" t="str" cm="1">
        <f t="array" ref="C61">_xlfn.IFS(S61 = Modules!$A$2,Modules!$B$2,S61 = Modules!$A$3,Modules!$B$3,S61 = Modules!$A$4,Modules!$B$4,S61 = Modules!$A$5,Modules!$B$5,S61 = Modules!$A$6,Modules!$B$6,S61 = Modules!$A$7,Modules!$B$7,S61 = Modules!$A$8,Modules!$B$8,S61 = Modules!$A$9,Modules!$B$9,S61 = Modules!$A$10,Modules!$B$10,S61 = Modules!$A$11,Modules!$B$11,S61 = Modules!$A$12,Modules!$B$12, S61 = Modules!$A$13,Modules!$B$13)</f>
        <v>care</v>
      </c>
      <c r="D61" s="2" t="s">
        <v>1060</v>
      </c>
      <c r="E61" s="10"/>
      <c r="F61" s="10"/>
      <c r="G61" s="10" t="s">
        <v>1073</v>
      </c>
      <c r="H61" s="10"/>
      <c r="I61" s="10"/>
      <c r="J61" s="10" t="str">
        <f t="shared" si="0"/>
        <v>careHrsFromDaughter</v>
      </c>
      <c r="K61" s="6" t="s">
        <v>684</v>
      </c>
      <c r="L61" s="8" t="s">
        <v>334</v>
      </c>
      <c r="M61" s="10" t="str">
        <f t="shared" si="1"/>
        <v>Yes</v>
      </c>
      <c r="N61" s="2" t="s">
        <v>681</v>
      </c>
      <c r="O61" s="2" t="s">
        <v>679</v>
      </c>
      <c r="S61" s="2" t="s">
        <v>971</v>
      </c>
    </row>
    <row r="62" spans="1:21" ht="13.5" customHeight="1" x14ac:dyDescent="0.2">
      <c r="A62" s="6" t="s">
        <v>1293</v>
      </c>
      <c r="C62" s="2" t="str" cm="1">
        <f t="array" ref="C62">_xlfn.IFS(S62 = Modules!$A$2,Modules!$B$2,S62 = Modules!$A$3,Modules!$B$3,S62 = Modules!$A$4,Modules!$B$4,S62 = Modules!$A$5,Modules!$B$5,S62 = Modules!$A$6,Modules!$B$6,S62 = Modules!$A$7,Modules!$B$7,S62 = Modules!$A$8,Modules!$B$8,S62 = Modules!$A$9,Modules!$B$9,S62 = Modules!$A$10,Modules!$B$10,S62 = Modules!$A$11,Modules!$B$11,S62 = Modules!$A$12,Modules!$B$12, S62 = Modules!$A$13,Modules!$B$13)</f>
        <v>dem</v>
      </c>
      <c r="D62" s="2" t="s">
        <v>1141</v>
      </c>
      <c r="G62" s="2">
        <v>0</v>
      </c>
      <c r="J62" s="2" t="str">
        <f t="shared" si="0"/>
        <v>demNChild0</v>
      </c>
      <c r="K62" s="2" t="s">
        <v>1348</v>
      </c>
      <c r="M62" s="10" t="str">
        <f t="shared" si="1"/>
        <v>Yes</v>
      </c>
      <c r="P62" s="2" t="s">
        <v>1349</v>
      </c>
      <c r="Q62" s="6" t="s">
        <v>1253</v>
      </c>
      <c r="S62" s="6" t="s">
        <v>975</v>
      </c>
    </row>
    <row r="63" spans="1:21" ht="13.5" customHeight="1" x14ac:dyDescent="0.2">
      <c r="A63" s="2" t="s">
        <v>35</v>
      </c>
      <c r="C63" s="10" t="str" cm="1">
        <f t="array" ref="C63">_xlfn.IFS(S63 = Modules!$A$2,Modules!$B$2,S63 = Modules!$A$3,Modules!$B$3,S63 = Modules!$A$4,Modules!$B$4,S63 = Modules!$A$5,Modules!$B$5,S63 = Modules!$A$6,Modules!$B$6,S63 = Modules!$A$7,Modules!$B$7,S63 = Modules!$A$8,Modules!$B$8,S63 = Modules!$A$9,Modules!$B$9,S63 = Modules!$A$10,Modules!$B$10,S63 = Modules!$A$11,Modules!$B$11,S63 = Modules!$A$12,Modules!$B$12, S63 = Modules!$A$13,Modules!$B$13)</f>
        <v>dem</v>
      </c>
      <c r="D63" s="2" t="s">
        <v>468</v>
      </c>
      <c r="E63" s="4" t="s">
        <v>1087</v>
      </c>
      <c r="G63" s="2" t="s">
        <v>1086</v>
      </c>
      <c r="J63" s="10" t="str">
        <f t="shared" si="0"/>
        <v>demAgePartnerDiff</v>
      </c>
      <c r="K63" s="2" t="s">
        <v>474</v>
      </c>
      <c r="L63" s="2" t="s">
        <v>334</v>
      </c>
      <c r="M63" s="10" t="str">
        <f t="shared" si="1"/>
        <v>Yes</v>
      </c>
      <c r="N63" s="2" t="s">
        <v>632</v>
      </c>
      <c r="O63" s="2" t="s">
        <v>521</v>
      </c>
      <c r="P63" s="2" t="s">
        <v>1270</v>
      </c>
      <c r="Q63" s="6" t="s">
        <v>1253</v>
      </c>
      <c r="S63" s="2" t="s">
        <v>975</v>
      </c>
      <c r="U63" s="2" t="s">
        <v>65</v>
      </c>
    </row>
    <row r="64" spans="1:21" ht="16" x14ac:dyDescent="0.2">
      <c r="A64" s="2" t="s">
        <v>363</v>
      </c>
      <c r="C64" s="10" t="str" cm="1">
        <f t="array" ref="C64">_xlfn.IFS(S64 = Modules!$A$2,Modules!$B$2,S64 = Modules!$A$3,Modules!$B$3,S64 = Modules!$A$4,Modules!$B$4,S64 = Modules!$A$5,Modules!$B$5,S64 = Modules!$A$6,Modules!$B$6,S64 = Modules!$A$7,Modules!$B$7,S64 = Modules!$A$8,Modules!$B$8,S64 = Modules!$A$9,Modules!$B$9,S64 = Modules!$A$10,Modules!$B$10,S64 = Modules!$A$11,Modules!$B$11,S64 = Modules!$A$12,Modules!$B$12, S64 = Modules!$A$13,Modules!$B$13)</f>
        <v>dem</v>
      </c>
      <c r="D64" s="2" t="s">
        <v>468</v>
      </c>
      <c r="E64" s="4" t="s">
        <v>1087</v>
      </c>
      <c r="G64" s="2" t="s">
        <v>1086</v>
      </c>
      <c r="I64" s="2" t="s">
        <v>1063</v>
      </c>
      <c r="J64" s="10" t="str">
        <f t="shared" si="0"/>
        <v>demAgePartnerDiffL1</v>
      </c>
      <c r="K64" s="2" t="s">
        <v>490</v>
      </c>
      <c r="L64" s="2" t="s">
        <v>334</v>
      </c>
      <c r="M64" s="10" t="str">
        <f t="shared" si="1"/>
        <v>No</v>
      </c>
      <c r="S64" s="2" t="s">
        <v>975</v>
      </c>
    </row>
    <row r="65" spans="1:22" ht="13.5" customHeight="1" x14ac:dyDescent="0.2">
      <c r="A65" s="2" t="s">
        <v>43</v>
      </c>
      <c r="C65" s="10" t="str" cm="1">
        <f t="array" ref="C65">_xlfn.IFS(S65 = Modules!$A$2,Modules!$B$2,S65 = Modules!$A$3,Modules!$B$3,S65 = Modules!$A$4,Modules!$B$4,S65 = Modules!$A$5,Modules!$B$5,S65 = Modules!$A$6,Modules!$B$6,S65 = Modules!$A$7,Modules!$B$7,S65 = Modules!$A$8,Modules!$B$8,S65 = Modules!$A$9,Modules!$B$9,S65 = Modules!$A$10,Modules!$B$10,S65 = Modules!$A$11,Modules!$B$11,S65 = Modules!$A$12,Modules!$B$12, S65 = Modules!$A$13,Modules!$B$13)</f>
        <v>dem</v>
      </c>
      <c r="D65" s="2" t="s">
        <v>1089</v>
      </c>
      <c r="E65" s="4" t="s">
        <v>1087</v>
      </c>
      <c r="H65" s="2" t="s">
        <v>981</v>
      </c>
      <c r="J65" s="10" t="str">
        <f t="shared" ref="J65:J128" si="2">CONCATENATE(B65, C65,D65,E65,F65,G65,H65,I65)</f>
        <v>demEnterPartnerFlag</v>
      </c>
      <c r="K65" s="2" t="s">
        <v>922</v>
      </c>
      <c r="L65" s="2" t="s">
        <v>170</v>
      </c>
      <c r="M65" s="10" t="str">
        <f t="shared" ref="M65:M128" si="3">IF(OR(O65&lt;&gt;"", Q65&lt;&gt;""),"Yes","No")</f>
        <v>Yes</v>
      </c>
      <c r="N65" s="2" t="s">
        <v>630</v>
      </c>
      <c r="O65" s="2" t="s">
        <v>521</v>
      </c>
      <c r="P65" s="2" t="s">
        <v>1268</v>
      </c>
      <c r="Q65" s="6" t="s">
        <v>1253</v>
      </c>
      <c r="S65" s="2" t="s">
        <v>975</v>
      </c>
      <c r="U65" s="2" t="s">
        <v>100</v>
      </c>
    </row>
    <row r="66" spans="1:22" ht="144" x14ac:dyDescent="0.2">
      <c r="A66" s="2" t="s">
        <v>45</v>
      </c>
      <c r="C66" s="10" t="str" cm="1">
        <f t="array" ref="C66">_xlfn.IFS(S66 = Modules!$A$2,Modules!$B$2,S66 = Modules!$A$3,Modules!$B$3,S66 = Modules!$A$4,Modules!$B$4,S66 = Modules!$A$5,Modules!$B$5,S66 = Modules!$A$6,Modules!$B$6,S66 = Modules!$A$7,Modules!$B$7,S66 = Modules!$A$8,Modules!$B$8,S66 = Modules!$A$9,Modules!$B$9,S66 = Modules!$A$10,Modules!$B$10,S66 = Modules!$A$11,Modules!$B$11,S66 = Modules!$A$12,Modules!$B$12, S66 = Modules!$A$13,Modules!$B$13)</f>
        <v>dem</v>
      </c>
      <c r="D66" s="2" t="s">
        <v>1090</v>
      </c>
      <c r="E66" s="4" t="s">
        <v>1087</v>
      </c>
      <c r="H66" s="2" t="s">
        <v>981</v>
      </c>
      <c r="J66" s="10" t="str">
        <f t="shared" si="2"/>
        <v>demExitPartnerFlag</v>
      </c>
      <c r="K66" s="2" t="s">
        <v>923</v>
      </c>
      <c r="L66" s="2" t="s">
        <v>170</v>
      </c>
      <c r="M66" s="10" t="str">
        <f t="shared" si="3"/>
        <v>Yes</v>
      </c>
      <c r="N66" s="2" t="s">
        <v>630</v>
      </c>
      <c r="O66" s="2" t="s">
        <v>521</v>
      </c>
      <c r="P66" s="2" t="s">
        <v>1268</v>
      </c>
      <c r="Q66" s="6" t="s">
        <v>1253</v>
      </c>
      <c r="S66" s="2" t="s">
        <v>975</v>
      </c>
      <c r="U66" s="2" t="s">
        <v>99</v>
      </c>
    </row>
    <row r="67" spans="1:22" ht="112" x14ac:dyDescent="0.2">
      <c r="A67" s="2" t="s">
        <v>51</v>
      </c>
      <c r="C67" s="10" t="str" cm="1">
        <f t="array" ref="C67">_xlfn.IFS(S67 = Modules!$A$2,Modules!$B$2,S67 = Modules!$A$3,Modules!$B$3,S67 = Modules!$A$4,Modules!$B$4,S67 = Modules!$A$5,Modules!$B$5,S67 = Modules!$A$6,Modules!$B$6,S67 = Modules!$A$7,Modules!$B$7,S67 = Modules!$A$8,Modules!$B$8,S67 = Modules!$A$9,Modules!$B$9,S67 = Modules!$A$10,Modules!$B$10,S67 = Modules!$A$11,Modules!$B$11,S67 = Modules!$A$12,Modules!$B$12, S67 = Modules!$A$13,Modules!$B$13)</f>
        <v>dem</v>
      </c>
      <c r="E67" s="4" t="s">
        <v>1087</v>
      </c>
      <c r="F67" s="2" t="s">
        <v>533</v>
      </c>
      <c r="J67" s="10" t="str">
        <f t="shared" si="2"/>
        <v>demPartnerStatus</v>
      </c>
      <c r="K67" s="2" t="s">
        <v>934</v>
      </c>
      <c r="L67" s="2" t="s">
        <v>334</v>
      </c>
      <c r="M67" s="10" t="str">
        <f t="shared" si="3"/>
        <v>Yes</v>
      </c>
      <c r="N67" s="2" t="s">
        <v>33</v>
      </c>
      <c r="O67" s="2" t="s">
        <v>521</v>
      </c>
      <c r="P67" s="2" t="s">
        <v>1267</v>
      </c>
      <c r="Q67" s="6" t="s">
        <v>1253</v>
      </c>
      <c r="S67" s="5" t="s">
        <v>975</v>
      </c>
      <c r="U67" s="2" t="s">
        <v>55</v>
      </c>
    </row>
    <row r="68" spans="1:22" ht="13.5" customHeight="1" x14ac:dyDescent="0.2">
      <c r="A68" s="2" t="s">
        <v>356</v>
      </c>
      <c r="C68" s="10" t="str" cm="1">
        <f t="array" ref="C68">_xlfn.IFS(S68 = Modules!$A$2,Modules!$B$2,S68 = Modules!$A$3,Modules!$B$3,S68 = Modules!$A$4,Modules!$B$4,S68 = Modules!$A$5,Modules!$B$5,S68 = Modules!$A$6,Modules!$B$6,S68 = Modules!$A$7,Modules!$B$7,S68 = Modules!$A$8,Modules!$B$8,S68 = Modules!$A$9,Modules!$B$9,S68 = Modules!$A$10,Modules!$B$10,S68 = Modules!$A$11,Modules!$B$11,S68 = Modules!$A$12,Modules!$B$12, S68 = Modules!$A$13,Modules!$B$13)</f>
        <v>dem</v>
      </c>
      <c r="E68" s="4" t="s">
        <v>1087</v>
      </c>
      <c r="F68" s="2" t="s">
        <v>533</v>
      </c>
      <c r="I68" s="2" t="s">
        <v>1063</v>
      </c>
      <c r="J68" s="10" t="str">
        <f t="shared" si="2"/>
        <v>demPartnerStatusL1</v>
      </c>
      <c r="K68" s="2" t="s">
        <v>485</v>
      </c>
      <c r="L68" s="2" t="s">
        <v>334</v>
      </c>
      <c r="M68" s="10" t="str">
        <f t="shared" si="3"/>
        <v>No</v>
      </c>
      <c r="S68" s="2" t="s">
        <v>975</v>
      </c>
    </row>
    <row r="69" spans="1:22" ht="13.5" customHeight="1" x14ac:dyDescent="0.2">
      <c r="A69" s="2" t="s">
        <v>357</v>
      </c>
      <c r="C69" s="10" t="str" cm="1">
        <f t="array" ref="C69">_xlfn.IFS(S69 = Modules!$A$2,Modules!$B$2,S69 = Modules!$A$3,Modules!$B$3,S69 = Modules!$A$4,Modules!$B$4,S69 = Modules!$A$5,Modules!$B$5,S69 = Modules!$A$6,Modules!$B$6,S69 = Modules!$A$7,Modules!$B$7,S69 = Modules!$A$8,Modules!$B$8,S69 = Modules!$A$9,Modules!$B$9,S69 = Modules!$A$10,Modules!$B$10,S69 = Modules!$A$11,Modules!$B$11,S69 = Modules!$A$12,Modules!$B$12, S69 = Modules!$A$13,Modules!$B$13)</f>
        <v>dem</v>
      </c>
      <c r="E69" s="4" t="s">
        <v>1087</v>
      </c>
      <c r="F69" s="2" t="s">
        <v>533</v>
      </c>
      <c r="I69" s="2" t="s">
        <v>1091</v>
      </c>
      <c r="J69" s="10" t="str">
        <f t="shared" si="2"/>
        <v>demPartnerStatusL2</v>
      </c>
      <c r="K69" s="2" t="s">
        <v>486</v>
      </c>
      <c r="L69" s="2" t="s">
        <v>334</v>
      </c>
      <c r="M69" s="10" t="str">
        <f t="shared" si="3"/>
        <v>No</v>
      </c>
      <c r="S69" s="2" t="s">
        <v>975</v>
      </c>
    </row>
    <row r="70" spans="1:22" ht="13.5" customHeight="1" x14ac:dyDescent="0.2">
      <c r="A70" s="2" t="s">
        <v>421</v>
      </c>
      <c r="B70" s="2" t="s">
        <v>1235</v>
      </c>
      <c r="C70" s="10" t="str" cm="1">
        <f t="array" ref="C70">_xlfn.IFS(S70 = Modules!$A$2,Modules!$B$2,S70 = Modules!$A$3,Modules!$B$3,S70 = Modules!$A$4,Modules!$B$4,S70 = Modules!$A$5,Modules!$B$5,S70 = Modules!$A$6,Modules!$B$6,S70 = Modules!$A$7,Modules!$B$7,S70 = Modules!$A$8,Modules!$B$8,S70 = Modules!$A$9,Modules!$B$9,S70 = Modules!$A$10,Modules!$B$10,S70 = Modules!$A$11,Modules!$B$11,S70 = Modules!$A$12,Modules!$B$12, S70 = Modules!$A$13,Modules!$B$13)</f>
        <v>dem</v>
      </c>
      <c r="E70" s="4" t="s">
        <v>1087</v>
      </c>
      <c r="F70" s="2" t="s">
        <v>533</v>
      </c>
      <c r="J70" s="10" t="str">
        <f t="shared" si="2"/>
        <v>i_demPartnerStatus</v>
      </c>
      <c r="K70" s="2" t="s">
        <v>894</v>
      </c>
      <c r="L70" s="2" t="s">
        <v>334</v>
      </c>
      <c r="M70" s="10" t="str">
        <f t="shared" si="3"/>
        <v>No</v>
      </c>
      <c r="S70" s="2" t="s">
        <v>975</v>
      </c>
      <c r="U70" s="2" t="s">
        <v>884</v>
      </c>
    </row>
    <row r="71" spans="1:22" ht="13.5" customHeight="1" x14ac:dyDescent="0.2">
      <c r="A71" s="2" t="s">
        <v>44</v>
      </c>
      <c r="C71" s="10" t="str" cm="1">
        <f t="array" ref="C71">_xlfn.IFS(S71 = Modules!$A$2,Modules!$B$2,S71 = Modules!$A$3,Modules!$B$3,S71 = Modules!$A$4,Modules!$B$4,S71 = Modules!$A$5,Modules!$B$5,S71 = Modules!$A$6,Modules!$B$6,S71 = Modules!$A$7,Modules!$B$7,S71 = Modules!$A$8,Modules!$B$8,S71 = Modules!$A$9,Modules!$B$9,S71 = Modules!$A$10,Modules!$B$10,S71 = Modules!$A$11,Modules!$B$11,S71 = Modules!$A$12,Modules!$B$12, S71 = Modules!$A$13,Modules!$B$13)</f>
        <v>dem</v>
      </c>
      <c r="E71" s="4" t="s">
        <v>1087</v>
      </c>
      <c r="F71" s="2" t="s">
        <v>1093</v>
      </c>
      <c r="J71" s="10" t="str">
        <f t="shared" si="2"/>
        <v>demPartnerNYear</v>
      </c>
      <c r="K71" s="2" t="s">
        <v>473</v>
      </c>
      <c r="L71" s="2" t="s">
        <v>334</v>
      </c>
      <c r="M71" s="10" t="str">
        <f t="shared" si="3"/>
        <v>Yes</v>
      </c>
      <c r="N71" s="2" t="s">
        <v>631</v>
      </c>
      <c r="O71" s="2" t="s">
        <v>521</v>
      </c>
      <c r="P71" s="2" t="s">
        <v>1267</v>
      </c>
      <c r="Q71" s="6" t="s">
        <v>1253</v>
      </c>
      <c r="S71" s="2" t="s">
        <v>975</v>
      </c>
      <c r="U71" s="2" t="s">
        <v>34</v>
      </c>
      <c r="V71" s="2" t="s">
        <v>1295</v>
      </c>
    </row>
    <row r="72" spans="1:22" ht="13.5" customHeight="1" x14ac:dyDescent="0.2">
      <c r="A72" s="2" t="s">
        <v>386</v>
      </c>
      <c r="C72" s="10" t="str" cm="1">
        <f t="array" ref="C72">_xlfn.IFS(S72 = Modules!$A$2,Modules!$B$2,S72 = Modules!$A$3,Modules!$B$3,S72 = Modules!$A$4,Modules!$B$4,S72 = Modules!$A$5,Modules!$B$5,S72 = Modules!$A$6,Modules!$B$6,S72 = Modules!$A$7,Modules!$B$7,S72 = Modules!$A$8,Modules!$B$8,S72 = Modules!$A$9,Modules!$B$9,S72 = Modules!$A$10,Modules!$B$10,S72 = Modules!$A$11,Modules!$B$11,S72 = Modules!$A$12,Modules!$B$12, S72 = Modules!$A$13,Modules!$B$13)</f>
        <v>dem</v>
      </c>
      <c r="E72" s="4" t="s">
        <v>1087</v>
      </c>
      <c r="F72" s="2" t="s">
        <v>1093</v>
      </c>
      <c r="I72" s="2" t="s">
        <v>1063</v>
      </c>
      <c r="J72" s="10" t="str">
        <f t="shared" si="2"/>
        <v>demPartnerNYearL1</v>
      </c>
      <c r="K72" s="2" t="s">
        <v>489</v>
      </c>
      <c r="L72" s="2" t="s">
        <v>334</v>
      </c>
      <c r="M72" s="10" t="str">
        <f t="shared" si="3"/>
        <v>No</v>
      </c>
      <c r="S72" s="2" t="s">
        <v>975</v>
      </c>
    </row>
    <row r="73" spans="1:22" ht="32" x14ac:dyDescent="0.2">
      <c r="A73" s="2" t="s">
        <v>77</v>
      </c>
      <c r="C73" s="21" t="str" cm="1">
        <f t="array" ref="C73">_xlfn.IFS(S73 = Modules!$A$2,Modules!$B$2,S73 = Modules!$A$3,Modules!$B$3,S73 = Modules!$A$4,Modules!$B$4,S73 = Modules!$A$5,Modules!$B$5,S73 = Modules!$A$6,Modules!$B$6,S73 = Modules!$A$7,Modules!$B$7,S73 = Modules!$A$8,Modules!$B$8,S73 = Modules!$A$9,Modules!$B$9,S73 = Modules!$A$10,Modules!$B$10,S73 = Modules!$A$11,Modules!$B$11,S73 = Modules!$A$12,Modules!$B$12, S73 = Modules!$A$13,Modules!$B$13)</f>
        <v>dem</v>
      </c>
      <c r="D73" s="2" t="s">
        <v>461</v>
      </c>
      <c r="J73" s="21" t="str">
        <f t="shared" si="2"/>
        <v>demCountry</v>
      </c>
      <c r="K73" s="2" t="s">
        <v>461</v>
      </c>
      <c r="L73" s="2" t="s">
        <v>1033</v>
      </c>
      <c r="M73" s="10" t="str">
        <f t="shared" si="3"/>
        <v>Yes</v>
      </c>
      <c r="O73" s="2" t="s">
        <v>521</v>
      </c>
      <c r="P73" s="2" t="s">
        <v>1358</v>
      </c>
      <c r="Q73" s="6" t="s">
        <v>1253</v>
      </c>
      <c r="R73" s="2"/>
      <c r="S73" s="2" t="s">
        <v>975</v>
      </c>
      <c r="T73" s="21"/>
      <c r="U73" s="2" t="s">
        <v>78</v>
      </c>
    </row>
    <row r="74" spans="1:22" ht="13.5" customHeight="1" x14ac:dyDescent="0.2">
      <c r="A74" s="2" t="s">
        <v>32</v>
      </c>
      <c r="C74" s="10" t="str" cm="1">
        <f t="array" ref="C74">_xlfn.IFS(S74 = Modules!$A$2,Modules!$B$2,S74 = Modules!$A$3,Modules!$B$3,S74 = Modules!$A$4,Modules!$B$4,S74 = Modules!$A$5,Modules!$B$5,S74 = Modules!$A$6,Modules!$B$6,S74 = Modules!$A$7,Modules!$B$7,S74 = Modules!$A$8,Modules!$B$8,S74 = Modules!$A$9,Modules!$B$9,S74 = Modules!$A$10,Modules!$B$10,S74 = Modules!$A$11,Modules!$B$11,S74 = Modules!$A$12,Modules!$B$12, S74 = Modules!$A$13,Modules!$B$13)</f>
        <v>edu</v>
      </c>
      <c r="D74" s="2" t="s">
        <v>1094</v>
      </c>
      <c r="H74" s="2" t="s">
        <v>981</v>
      </c>
      <c r="J74" s="10" t="str">
        <f t="shared" si="2"/>
        <v>eduSpellFlag</v>
      </c>
      <c r="K74" s="2" t="s">
        <v>920</v>
      </c>
      <c r="L74" s="2" t="s">
        <v>334</v>
      </c>
      <c r="M74" s="10" t="str">
        <f t="shared" si="3"/>
        <v>Yes</v>
      </c>
      <c r="N74" s="2" t="s">
        <v>24</v>
      </c>
      <c r="O74" s="2" t="s">
        <v>521</v>
      </c>
      <c r="P74" s="2" t="s">
        <v>1309</v>
      </c>
      <c r="Q74" s="6" t="s">
        <v>1253</v>
      </c>
      <c r="S74" s="5" t="s">
        <v>544</v>
      </c>
      <c r="U74" s="2" t="s">
        <v>81</v>
      </c>
    </row>
    <row r="75" spans="1:22" ht="80" x14ac:dyDescent="0.2">
      <c r="A75" s="2" t="s">
        <v>17</v>
      </c>
      <c r="C75" s="10" t="str" cm="1">
        <f t="array" ref="C75">_xlfn.IFS(S75 = Modules!$A$2,Modules!$B$2,S75 = Modules!$A$3,Modules!$B$3,S75 = Modules!$A$4,Modules!$B$4,S75 = Modules!$A$5,Modules!$B$5,S75 = Modules!$A$6,Modules!$B$6,S75 = Modules!$A$7,Modules!$B$7,S75 = Modules!$A$8,Modules!$B$8,S75 = Modules!$A$9,Modules!$B$9,S75 = Modules!$A$10,Modules!$B$10,S75 = Modules!$A$11,Modules!$B$11,S75 = Modules!$A$12,Modules!$B$12, S75 = Modules!$A$13,Modules!$B$13)</f>
        <v>edu</v>
      </c>
      <c r="D75" s="2" t="s">
        <v>1095</v>
      </c>
      <c r="H75" s="2" t="s">
        <v>1102</v>
      </c>
      <c r="J75" s="10" t="str">
        <f t="shared" si="2"/>
        <v>eduHighestC3</v>
      </c>
      <c r="K75" s="2" t="s">
        <v>935</v>
      </c>
      <c r="L75" s="2" t="s">
        <v>334</v>
      </c>
      <c r="M75" s="10" t="str">
        <f t="shared" si="3"/>
        <v>Yes</v>
      </c>
      <c r="N75" s="2" t="s">
        <v>18</v>
      </c>
      <c r="O75" s="2" t="s">
        <v>521</v>
      </c>
      <c r="P75" s="2" t="s">
        <v>1265</v>
      </c>
      <c r="Q75" s="6" t="s">
        <v>1253</v>
      </c>
      <c r="S75" s="5" t="s">
        <v>544</v>
      </c>
      <c r="U75" s="2" t="s">
        <v>30</v>
      </c>
    </row>
    <row r="76" spans="1:22" ht="13.5" customHeight="1" x14ac:dyDescent="0.2">
      <c r="A76" s="2" t="s">
        <v>333</v>
      </c>
      <c r="C76" s="10" t="str" cm="1">
        <f t="array" ref="C76">_xlfn.IFS(S76 = Modules!$A$2,Modules!$B$2,S76 = Modules!$A$3,Modules!$B$3,S76 = Modules!$A$4,Modules!$B$4,S76 = Modules!$A$5,Modules!$B$5,S76 = Modules!$A$6,Modules!$B$6,S76 = Modules!$A$7,Modules!$B$7,S76 = Modules!$A$8,Modules!$B$8,S76 = Modules!$A$9,Modules!$B$9,S76 = Modules!$A$10,Modules!$B$10,S76 = Modules!$A$11,Modules!$B$11,S76 = Modules!$A$12,Modules!$B$12, S76 = Modules!$A$13,Modules!$B$13)</f>
        <v>edu</v>
      </c>
      <c r="D76" s="2" t="s">
        <v>1095</v>
      </c>
      <c r="H76" s="2" t="s">
        <v>1102</v>
      </c>
      <c r="I76" s="2" t="s">
        <v>1063</v>
      </c>
      <c r="J76" s="10" t="str">
        <f t="shared" si="2"/>
        <v>eduHighestC3L1</v>
      </c>
      <c r="K76" s="2" t="s">
        <v>487</v>
      </c>
      <c r="L76" s="2" t="s">
        <v>334</v>
      </c>
      <c r="M76" s="10" t="str">
        <f t="shared" si="3"/>
        <v>No</v>
      </c>
      <c r="S76" s="5" t="s">
        <v>544</v>
      </c>
    </row>
    <row r="77" spans="1:22" ht="13.5" customHeight="1" x14ac:dyDescent="0.2">
      <c r="A77" s="2" t="s">
        <v>450</v>
      </c>
      <c r="B77" s="2" t="s">
        <v>1235</v>
      </c>
      <c r="C77" s="10" t="str" cm="1">
        <f t="array" ref="C77">_xlfn.IFS(S77 = Modules!$A$2,Modules!$B$2,S77 = Modules!$A$3,Modules!$B$3,S77 = Modules!$A$4,Modules!$B$4,S77 = Modules!$A$5,Modules!$B$5,S77 = Modules!$A$6,Modules!$B$6,S77 = Modules!$A$7,Modules!$B$7,S77 = Modules!$A$8,Modules!$B$8,S77 = Modules!$A$9,Modules!$B$9,S77 = Modules!$A$10,Modules!$B$10,S77 = Modules!$A$11,Modules!$B$11,S77 = Modules!$A$12,Modules!$B$12, S77 = Modules!$A$13,Modules!$B$13)</f>
        <v>edu</v>
      </c>
      <c r="D77" s="2" t="s">
        <v>1095</v>
      </c>
      <c r="H77" s="2" t="s">
        <v>1102</v>
      </c>
      <c r="J77" s="10" t="str">
        <f t="shared" si="2"/>
        <v>i_eduHighestC3</v>
      </c>
      <c r="K77" s="2" t="s">
        <v>902</v>
      </c>
      <c r="L77" s="2" t="s">
        <v>451</v>
      </c>
      <c r="M77" s="10" t="str">
        <f t="shared" si="3"/>
        <v>No</v>
      </c>
      <c r="S77" s="5" t="s">
        <v>544</v>
      </c>
    </row>
    <row r="78" spans="1:22" ht="13.5" customHeight="1" x14ac:dyDescent="0.2">
      <c r="A78" s="2" t="s">
        <v>21</v>
      </c>
      <c r="C78" s="10" t="str" cm="1">
        <f t="array" ref="C78">_xlfn.IFS(S78 = Modules!$A$2,Modules!$B$2,S78 = Modules!$A$3,Modules!$B$3,S78 = Modules!$A$4,Modules!$B$4,S78 = Modules!$A$5,Modules!$B$5,S78 = Modules!$A$6,Modules!$B$6,S78 = Modules!$A$7,Modules!$B$7,S78 = Modules!$A$8,Modules!$B$8,S78 = Modules!$A$9,Modules!$B$9,S78 = Modules!$A$10,Modules!$B$10,S78 = Modules!$A$11,Modules!$B$11,S78 = Modules!$A$12,Modules!$B$12, S78 = Modules!$A$13,Modules!$B$13)</f>
        <v>edu</v>
      </c>
      <c r="D78" s="2" t="s">
        <v>1095</v>
      </c>
      <c r="E78" s="2" t="s">
        <v>459</v>
      </c>
      <c r="H78" s="2" t="s">
        <v>1102</v>
      </c>
      <c r="J78" s="10" t="str">
        <f t="shared" si="2"/>
        <v>eduHighestFatherC3</v>
      </c>
      <c r="K78" s="2" t="s">
        <v>938</v>
      </c>
      <c r="L78" s="2" t="s">
        <v>334</v>
      </c>
      <c r="M78" s="10" t="str">
        <f t="shared" si="3"/>
        <v>Yes</v>
      </c>
      <c r="N78" s="2" t="s">
        <v>22</v>
      </c>
      <c r="O78" s="2" t="s">
        <v>521</v>
      </c>
      <c r="S78" s="5" t="s">
        <v>544</v>
      </c>
      <c r="U78" s="2" t="s">
        <v>23</v>
      </c>
    </row>
    <row r="79" spans="1:22" ht="192" x14ac:dyDescent="0.2">
      <c r="A79" s="2" t="s">
        <v>19</v>
      </c>
      <c r="C79" s="10" t="str" cm="1">
        <f t="array" ref="C79">_xlfn.IFS(S79 = Modules!$A$2,Modules!$B$2,S79 = Modules!$A$3,Modules!$B$3,S79 = Modules!$A$4,Modules!$B$4,S79 = Modules!$A$5,Modules!$B$5,S79 = Modules!$A$6,Modules!$B$6,S79 = Modules!$A$7,Modules!$B$7,S79 = Modules!$A$8,Modules!$B$8,S79 = Modules!$A$9,Modules!$B$9,S79 = Modules!$A$10,Modules!$B$10,S79 = Modules!$A$11,Modules!$B$11,S79 = Modules!$A$12,Modules!$B$12, S79 = Modules!$A$13,Modules!$B$13)</f>
        <v>edu</v>
      </c>
      <c r="D79" s="2" t="s">
        <v>1095</v>
      </c>
      <c r="E79" s="2" t="s">
        <v>460</v>
      </c>
      <c r="H79" s="2" t="s">
        <v>1102</v>
      </c>
      <c r="J79" s="10" t="str">
        <f t="shared" si="2"/>
        <v>eduHighestMotherC3</v>
      </c>
      <c r="K79" s="2" t="s">
        <v>937</v>
      </c>
      <c r="L79" s="2" t="s">
        <v>334</v>
      </c>
      <c r="M79" s="10" t="str">
        <f t="shared" si="3"/>
        <v>Yes</v>
      </c>
      <c r="N79" s="2" t="s">
        <v>20</v>
      </c>
      <c r="O79" s="2" t="s">
        <v>521</v>
      </c>
      <c r="S79" s="5" t="s">
        <v>544</v>
      </c>
      <c r="U79" s="2" t="s">
        <v>27</v>
      </c>
    </row>
    <row r="80" spans="1:22" ht="13.5" customHeight="1" x14ac:dyDescent="0.2">
      <c r="A80" s="2" t="s">
        <v>28</v>
      </c>
      <c r="C80" s="10" t="str" cm="1">
        <f t="array" ref="C80">_xlfn.IFS(S80 = Modules!$A$2,Modules!$B$2,S80 = Modules!$A$3,Modules!$B$3,S80 = Modules!$A$4,Modules!$B$4,S80 = Modules!$A$5,Modules!$B$5,S80 = Modules!$A$6,Modules!$B$6,S80 = Modules!$A$7,Modules!$B$7,S80 = Modules!$A$8,Modules!$B$8,S80 = Modules!$A$9,Modules!$B$9,S80 = Modules!$A$10,Modules!$B$10,S80 = Modules!$A$11,Modules!$B$11,S80 = Modules!$A$12,Modules!$B$12, S80 = Modules!$A$13,Modules!$B$13)</f>
        <v>edu</v>
      </c>
      <c r="D80" s="2" t="s">
        <v>1095</v>
      </c>
      <c r="E80" s="2" t="s">
        <v>1087</v>
      </c>
      <c r="H80" s="2" t="s">
        <v>1102</v>
      </c>
      <c r="J80" s="10" t="str">
        <f t="shared" si="2"/>
        <v>eduHighestPartnerC3</v>
      </c>
      <c r="K80" s="2" t="s">
        <v>936</v>
      </c>
      <c r="L80" s="2" t="s">
        <v>334</v>
      </c>
      <c r="M80" s="10" t="str">
        <f t="shared" si="3"/>
        <v>Yes</v>
      </c>
      <c r="N80" s="2" t="s">
        <v>18</v>
      </c>
      <c r="O80" s="2" t="s">
        <v>521</v>
      </c>
      <c r="P80" s="2" t="s">
        <v>1359</v>
      </c>
      <c r="Q80" s="6" t="s">
        <v>1253</v>
      </c>
      <c r="S80" s="5" t="s">
        <v>544</v>
      </c>
      <c r="U80" s="2" t="s">
        <v>29</v>
      </c>
    </row>
    <row r="81" spans="1:21" ht="16" x14ac:dyDescent="0.2">
      <c r="A81" s="2" t="s">
        <v>358</v>
      </c>
      <c r="C81" s="10" t="str" cm="1">
        <f t="array" ref="C81">_xlfn.IFS(S81 = Modules!$A$2,Modules!$B$2,S81 = Modules!$A$3,Modules!$B$3,S81 = Modules!$A$4,Modules!$B$4,S81 = Modules!$A$5,Modules!$B$5,S81 = Modules!$A$6,Modules!$B$6,S81 = Modules!$A$7,Modules!$B$7,S81 = Modules!$A$8,Modules!$B$8,S81 = Modules!$A$9,Modules!$B$9,S81 = Modules!$A$10,Modules!$B$10,S81 = Modules!$A$11,Modules!$B$11,S81 = Modules!$A$12,Modules!$B$12, S81 = Modules!$A$13,Modules!$B$13)</f>
        <v>edu</v>
      </c>
      <c r="D81" s="2" t="s">
        <v>1095</v>
      </c>
      <c r="E81" s="2" t="s">
        <v>1087</v>
      </c>
      <c r="H81" s="2" t="s">
        <v>1102</v>
      </c>
      <c r="I81" s="2" t="s">
        <v>1063</v>
      </c>
      <c r="J81" s="10" t="str">
        <f t="shared" si="2"/>
        <v>eduHighestPartnerC3L1</v>
      </c>
      <c r="K81" s="2" t="s">
        <v>488</v>
      </c>
      <c r="L81" s="2" t="s">
        <v>334</v>
      </c>
      <c r="M81" s="10" t="str">
        <f t="shared" si="3"/>
        <v>No</v>
      </c>
      <c r="S81" s="5" t="s">
        <v>544</v>
      </c>
    </row>
    <row r="82" spans="1:21" ht="13.5" customHeight="1" x14ac:dyDescent="0.2">
      <c r="A82" s="2" t="s">
        <v>46</v>
      </c>
      <c r="C82" s="10" t="str" cm="1">
        <f t="array" ref="C82">_xlfn.IFS(S82 = Modules!$A$2,Modules!$B$2,S82 = Modules!$A$3,Modules!$B$3,S82 = Modules!$A$4,Modules!$B$4,S82 = Modules!$A$5,Modules!$B$5,S82 = Modules!$A$6,Modules!$B$6,S82 = Modules!$A$7,Modules!$B$7,S82 = Modules!$A$8,Modules!$B$8,S82 = Modules!$A$9,Modules!$B$9,S82 = Modules!$A$10,Modules!$B$10,S82 = Modules!$A$11,Modules!$B$11,S82 = Modules!$A$12,Modules!$B$12, S82 = Modules!$A$13,Modules!$B$13)</f>
        <v>edu</v>
      </c>
      <c r="D82" s="2" t="s">
        <v>1096</v>
      </c>
      <c r="H82" s="2" t="s">
        <v>981</v>
      </c>
      <c r="J82" s="10" t="str">
        <f t="shared" si="2"/>
        <v>eduReturnFlag</v>
      </c>
      <c r="K82" s="2" t="s">
        <v>921</v>
      </c>
      <c r="L82" s="2" t="s">
        <v>334</v>
      </c>
      <c r="M82" s="10" t="str">
        <f t="shared" si="3"/>
        <v>Yes</v>
      </c>
      <c r="N82" s="2" t="s">
        <v>24</v>
      </c>
      <c r="O82" s="2" t="s">
        <v>521</v>
      </c>
      <c r="P82" s="2" t="s">
        <v>1279</v>
      </c>
      <c r="Q82" s="6" t="s">
        <v>1253</v>
      </c>
      <c r="S82" s="5" t="s">
        <v>544</v>
      </c>
      <c r="U82" s="2" t="s">
        <v>36</v>
      </c>
    </row>
    <row r="83" spans="1:21" ht="13.5" customHeight="1" x14ac:dyDescent="0.2">
      <c r="A83" s="2" t="s">
        <v>399</v>
      </c>
      <c r="C83" s="10" t="str" cm="1">
        <f t="array" ref="C83">_xlfn.IFS(S83 = Modules!$A$2,Modules!$B$2,S83 = Modules!$A$3,Modules!$B$3,S83 = Modules!$A$4,Modules!$B$4,S83 = Modules!$A$5,Modules!$B$5,S83 = Modules!$A$6,Modules!$B$6,S83 = Modules!$A$7,Modules!$B$7,S83 = Modules!$A$8,Modules!$B$8,S83 = Modules!$A$9,Modules!$B$9,S83 = Modules!$A$10,Modules!$B$10,S83 = Modules!$A$11,Modules!$B$11,S83 = Modules!$A$12,Modules!$B$12, S83 = Modules!$A$13,Modules!$B$13)</f>
        <v>dem</v>
      </c>
      <c r="D83" s="2" t="s">
        <v>468</v>
      </c>
      <c r="G83" s="2" t="s">
        <v>1097</v>
      </c>
      <c r="J83" s="10" t="str">
        <f t="shared" si="2"/>
        <v>demAgeDiffDesired</v>
      </c>
      <c r="K83" s="2" t="s">
        <v>1397</v>
      </c>
      <c r="L83" s="2" t="s">
        <v>334</v>
      </c>
      <c r="M83" s="10" t="str">
        <f t="shared" si="3"/>
        <v>No</v>
      </c>
      <c r="S83" s="2" t="s">
        <v>975</v>
      </c>
    </row>
    <row r="84" spans="1:21" ht="13.5" customHeight="1" x14ac:dyDescent="0.2">
      <c r="A84" s="2" t="s">
        <v>400</v>
      </c>
      <c r="C84" s="10" t="str" cm="1">
        <f t="array" ref="C84">_xlfn.IFS(S84 = Modules!$A$2,Modules!$B$2,S84 = Modules!$A$3,Modules!$B$3,S84 = Modules!$A$4,Modules!$B$4,S84 = Modules!$A$5,Modules!$B$5,S84 = Modules!$A$6,Modules!$B$6,S84 = Modules!$A$7,Modules!$B$7,S84 = Modules!$A$8,Modules!$B$8,S84 = Modules!$A$9,Modules!$B$9,S84 = Modules!$A$10,Modules!$B$10,S84 = Modules!$A$11,Modules!$B$11,S84 = Modules!$A$12,Modules!$B$12, S84 = Modules!$A$13,Modules!$B$13)</f>
        <v>y</v>
      </c>
      <c r="D84" s="2" t="s">
        <v>1098</v>
      </c>
      <c r="G84" s="2" t="s">
        <v>1099</v>
      </c>
      <c r="J84" s="10" t="str">
        <f t="shared" si="2"/>
        <v>yWageDesired</v>
      </c>
      <c r="K84" s="2" t="s">
        <v>1398</v>
      </c>
      <c r="L84" s="2" t="s">
        <v>334</v>
      </c>
      <c r="M84" s="10" t="str">
        <f t="shared" si="3"/>
        <v>No</v>
      </c>
      <c r="S84" s="2" t="s">
        <v>480</v>
      </c>
    </row>
    <row r="85" spans="1:21" ht="13.5" customHeight="1" x14ac:dyDescent="0.2">
      <c r="A85" s="2" t="s">
        <v>12</v>
      </c>
      <c r="C85" s="10" t="str" cm="1">
        <f t="array" ref="C85">_xlfn.IFS(S85 = Modules!$A$2,Modules!$B$2,S85 = Modules!$A$3,Modules!$B$3,S85 = Modules!$A$4,Modules!$B$4,S85 = Modules!$A$5,Modules!$B$5,S85 = Modules!$A$6,Modules!$B$6,S85 = Modules!$A$7,Modules!$B$7,S85 = Modules!$A$8,Modules!$B$8,S85 = Modules!$A$9,Modules!$B$9,S85 = Modules!$A$10,Modules!$B$10,S85 = Modules!$A$11,Modules!$B$11,S85 = Modules!$A$12,Modules!$B$12, S85 = Modules!$A$13,Modules!$B$13)</f>
        <v>dem</v>
      </c>
      <c r="D85" s="2" t="s">
        <v>1354</v>
      </c>
      <c r="H85" s="2" t="s">
        <v>981</v>
      </c>
      <c r="J85" s="10" t="str">
        <f t="shared" si="2"/>
        <v>demMaleFlag</v>
      </c>
      <c r="K85" s="2" t="s">
        <v>919</v>
      </c>
      <c r="L85" s="2" t="s">
        <v>334</v>
      </c>
      <c r="M85" s="10" t="str">
        <f t="shared" si="3"/>
        <v>Yes</v>
      </c>
      <c r="N85" s="2" t="s">
        <v>13</v>
      </c>
      <c r="O85" s="4" t="s">
        <v>521</v>
      </c>
      <c r="P85" s="4" t="s">
        <v>1257</v>
      </c>
      <c r="Q85" s="6" t="s">
        <v>1253</v>
      </c>
      <c r="S85" s="4" t="s">
        <v>975</v>
      </c>
      <c r="U85" s="2" t="s">
        <v>14</v>
      </c>
    </row>
    <row r="86" spans="1:21" ht="13.5" customHeight="1" x14ac:dyDescent="0.2">
      <c r="A86" s="6" t="s">
        <v>1259</v>
      </c>
      <c r="C86" s="10" t="str" cm="1">
        <f t="array" ref="C86">_xlfn.IFS(S86 = Modules!$A$2,Modules!$B$2,S86 = Modules!$A$3,Modules!$B$3,S86 = Modules!$A$4,Modules!$B$4,S86 = Modules!$A$5,Modules!$B$5,S86 = Modules!$A$6,Modules!$B$6,S86 = Modules!$A$7,Modules!$B$7,S86 = Modules!$A$8,Modules!$B$8,S86 = Modules!$A$9,Modules!$B$9,S86 = Modules!$A$10,Modules!$B$10,S86 = Modules!$A$11,Modules!$B$11,S86 = Modules!$A$12,Modules!$B$12, S86 = Modules!$A$13,Modules!$B$13)</f>
        <v>dem</v>
      </c>
      <c r="D86" s="2" t="s">
        <v>1354</v>
      </c>
      <c r="E86" s="2" t="s">
        <v>1087</v>
      </c>
      <c r="H86" s="2" t="s">
        <v>981</v>
      </c>
      <c r="J86" s="10" t="str">
        <f t="shared" si="2"/>
        <v>demMalePartnerFlag</v>
      </c>
      <c r="K86" s="2" t="s">
        <v>919</v>
      </c>
      <c r="M86" s="10" t="str">
        <f t="shared" si="3"/>
        <v>Yes</v>
      </c>
      <c r="O86" s="4"/>
      <c r="P86" s="2" t="s">
        <v>1324</v>
      </c>
      <c r="Q86" s="6" t="s">
        <v>1253</v>
      </c>
      <c r="S86" s="4" t="s">
        <v>975</v>
      </c>
    </row>
    <row r="87" spans="1:21" ht="13.5" customHeight="1" x14ac:dyDescent="0.2">
      <c r="A87" s="2" t="s">
        <v>42</v>
      </c>
      <c r="C87" s="10" t="str" cm="1">
        <f t="array" ref="C87">_xlfn.IFS(S87 = Modules!$A$2,Modules!$B$2,S87 = Modules!$A$3,Modules!$B$3,S87 = Modules!$A$4,Modules!$B$4,S87 = Modules!$A$5,Modules!$B$5,S87 = Modules!$A$6,Modules!$B$6,S87 = Modules!$A$7,Modules!$B$7,S87 = Modules!$A$8,Modules!$B$8,S87 = Modules!$A$9,Modules!$B$9,S87 = Modules!$A$10,Modules!$B$10,S87 = Modules!$A$11,Modules!$B$11,S87 = Modules!$A$12,Modules!$B$12, S87 = Modules!$A$13,Modules!$B$13)</f>
        <v>health</v>
      </c>
      <c r="G87" s="2" t="s">
        <v>1101</v>
      </c>
      <c r="J87" s="10" t="str">
        <f t="shared" si="2"/>
        <v>healthSelfRated</v>
      </c>
      <c r="K87" s="2" t="s">
        <v>470</v>
      </c>
      <c r="L87" s="2" t="s">
        <v>334</v>
      </c>
      <c r="M87" s="10" t="str">
        <f t="shared" si="3"/>
        <v>Yes</v>
      </c>
      <c r="N87" s="2" t="s">
        <v>16</v>
      </c>
      <c r="O87" s="4" t="s">
        <v>521</v>
      </c>
      <c r="P87" s="4" t="s">
        <v>1264</v>
      </c>
      <c r="Q87" s="6" t="s">
        <v>1253</v>
      </c>
      <c r="S87" s="4" t="s">
        <v>531</v>
      </c>
      <c r="U87" s="2" t="s">
        <v>26</v>
      </c>
    </row>
    <row r="88" spans="1:21" ht="13.5" customHeight="1" x14ac:dyDescent="0.2">
      <c r="A88" s="2" t="s">
        <v>371</v>
      </c>
      <c r="C88" s="10" t="str" cm="1">
        <f t="array" ref="C88">_xlfn.IFS(S88 = Modules!$A$2,Modules!$B$2,S88 = Modules!$A$3,Modules!$B$3,S88 = Modules!$A$4,Modules!$B$4,S88 = Modules!$A$5,Modules!$B$5,S88 = Modules!$A$6,Modules!$B$6,S88 = Modules!$A$7,Modules!$B$7,S88 = Modules!$A$8,Modules!$B$8,S88 = Modules!$A$9,Modules!$B$9,S88 = Modules!$A$10,Modules!$B$10,S88 = Modules!$A$11,Modules!$B$11,S88 = Modules!$A$12,Modules!$B$12, S88 = Modules!$A$13,Modules!$B$13)</f>
        <v>health</v>
      </c>
      <c r="G88" s="2" t="s">
        <v>1101</v>
      </c>
      <c r="I88" s="2" t="s">
        <v>1063</v>
      </c>
      <c r="J88" s="10" t="str">
        <f t="shared" si="2"/>
        <v>healthSelfRatedL1</v>
      </c>
      <c r="K88" s="2" t="s">
        <v>484</v>
      </c>
      <c r="L88" s="2" t="s">
        <v>334</v>
      </c>
      <c r="M88" s="10" t="str">
        <f t="shared" si="3"/>
        <v>No</v>
      </c>
      <c r="S88" s="2" t="s">
        <v>531</v>
      </c>
    </row>
    <row r="89" spans="1:21" ht="13.5" customHeight="1" x14ac:dyDescent="0.2">
      <c r="A89" s="10" t="s">
        <v>161</v>
      </c>
      <c r="B89" s="10"/>
      <c r="C89" s="10" t="str" cm="1">
        <f t="array" ref="C89">_xlfn.IFS(S89 = Modules!$A$2,Modules!$B$2,S89 = Modules!$A$3,Modules!$B$3,S89 = Modules!$A$4,Modules!$B$4,S89 = Modules!$A$5,Modules!$B$5,S89 = Modules!$A$6,Modules!$B$6,S89 = Modules!$A$7,Modules!$B$7,S89 = Modules!$A$8,Modules!$B$8,S89 = Modules!$A$9,Modules!$B$9,S89 = Modules!$A$10,Modules!$B$10,S89 = Modules!$A$11,Modules!$B$11,S89 = Modules!$A$12,Modules!$B$12, S89 = Modules!$A$13,Modules!$B$13)</f>
        <v>health</v>
      </c>
      <c r="D89" s="2" t="s">
        <v>1103</v>
      </c>
      <c r="E89" s="10"/>
      <c r="F89" s="10" t="s">
        <v>1104</v>
      </c>
      <c r="G89" s="10"/>
      <c r="H89" s="10"/>
      <c r="I89" s="10"/>
      <c r="J89" s="10" t="str">
        <f t="shared" si="2"/>
        <v>healthMentalMcs</v>
      </c>
      <c r="K89" s="21" t="s">
        <v>516</v>
      </c>
      <c r="L89" s="8" t="s">
        <v>334</v>
      </c>
      <c r="M89" s="10" t="str">
        <f t="shared" si="3"/>
        <v>Yes</v>
      </c>
      <c r="N89" s="10" t="s">
        <v>515</v>
      </c>
      <c r="O89" s="4" t="s">
        <v>521</v>
      </c>
      <c r="P89" s="4"/>
      <c r="Q89" s="4"/>
      <c r="S89" s="2" t="s">
        <v>531</v>
      </c>
      <c r="U89" s="10"/>
    </row>
    <row r="90" spans="1:21" ht="16" x14ac:dyDescent="0.2">
      <c r="A90" s="10" t="s">
        <v>374</v>
      </c>
      <c r="B90" s="10"/>
      <c r="C90" s="10" t="str" cm="1">
        <f t="array" ref="C90">_xlfn.IFS(S90 = Modules!$A$2,Modules!$B$2,S90 = Modules!$A$3,Modules!$B$3,S90 = Modules!$A$4,Modules!$B$4,S90 = Modules!$A$5,Modules!$B$5,S90 = Modules!$A$6,Modules!$B$6,S90 = Modules!$A$7,Modules!$B$7,S90 = Modules!$A$8,Modules!$B$8,S90 = Modules!$A$9,Modules!$B$9,S90 = Modules!$A$10,Modules!$B$10,S90 = Modules!$A$11,Modules!$B$11,S90 = Modules!$A$12,Modules!$B$12, S90 = Modules!$A$13,Modules!$B$13)</f>
        <v>health</v>
      </c>
      <c r="D90" s="2" t="s">
        <v>1103</v>
      </c>
      <c r="E90" s="10"/>
      <c r="F90" s="10" t="s">
        <v>1104</v>
      </c>
      <c r="G90" s="10"/>
      <c r="H90" s="10"/>
      <c r="I90" s="10" t="s">
        <v>1063</v>
      </c>
      <c r="J90" s="10" t="str">
        <f t="shared" si="2"/>
        <v>healthMentalMcsL1</v>
      </c>
      <c r="K90" s="21" t="s">
        <v>517</v>
      </c>
      <c r="L90" s="10" t="s">
        <v>334</v>
      </c>
      <c r="M90" s="10" t="str">
        <f t="shared" si="3"/>
        <v>No</v>
      </c>
      <c r="N90" s="10"/>
      <c r="O90" s="10"/>
      <c r="P90" s="10"/>
      <c r="Q90" s="10"/>
      <c r="S90" s="2" t="s">
        <v>531</v>
      </c>
      <c r="U90" s="10"/>
    </row>
    <row r="91" spans="1:21" ht="13.5" customHeight="1" x14ac:dyDescent="0.2">
      <c r="A91" s="10" t="s">
        <v>200</v>
      </c>
      <c r="B91" s="10"/>
      <c r="C91" s="10" t="str" cm="1">
        <f t="array" ref="C91">_xlfn.IFS(S91 = Modules!$A$2,Modules!$B$2,S91 = Modules!$A$3,Modules!$B$3,S91 = Modules!$A$4,Modules!$B$4,S91 = Modules!$A$5,Modules!$B$5,S91 = Modules!$A$6,Modules!$B$6,S91 = Modules!$A$7,Modules!$B$7,S91 = Modules!$A$8,Modules!$B$8,S91 = Modules!$A$9,Modules!$B$9,S91 = Modules!$A$10,Modules!$B$10,S91 = Modules!$A$11,Modules!$B$11,S91 = Modules!$A$12,Modules!$B$12, S91 = Modules!$A$13,Modules!$B$13)</f>
        <v>health</v>
      </c>
      <c r="D91" s="2" t="s">
        <v>1103</v>
      </c>
      <c r="E91" s="10"/>
      <c r="F91" s="10" t="s">
        <v>1104</v>
      </c>
      <c r="G91" s="10"/>
      <c r="H91" s="10" t="s">
        <v>1057</v>
      </c>
      <c r="I91" s="10"/>
      <c r="J91" s="10" t="str">
        <f t="shared" si="2"/>
        <v>healthMentalMcsAvg</v>
      </c>
      <c r="K91" s="2" t="s">
        <v>604</v>
      </c>
      <c r="L91" s="10" t="s">
        <v>1034</v>
      </c>
      <c r="M91" s="10" t="str">
        <f t="shared" si="3"/>
        <v>No</v>
      </c>
      <c r="R91" s="4" t="s">
        <v>605</v>
      </c>
      <c r="S91" s="2" t="s">
        <v>531</v>
      </c>
    </row>
    <row r="92" spans="1:21" ht="13.5" customHeight="1" x14ac:dyDescent="0.2">
      <c r="A92" s="10" t="s">
        <v>201</v>
      </c>
      <c r="B92" s="10"/>
      <c r="C92" s="10" t="str" cm="1">
        <f t="array" ref="C92">_xlfn.IFS(S92 = Modules!$A$2,Modules!$B$2,S92 = Modules!$A$3,Modules!$B$3,S92 = Modules!$A$4,Modules!$B$4,S92 = Modules!$A$5,Modules!$B$5,S92 = Modules!$A$6,Modules!$B$6,S92 = Modules!$A$7,Modules!$B$7,S92 = Modules!$A$8,Modules!$B$8,S92 = Modules!$A$9,Modules!$B$9,S92 = Modules!$A$10,Modules!$B$10,S92 = Modules!$A$11,Modules!$B$11,S92 = Modules!$A$12,Modules!$B$12, S92 = Modules!$A$13,Modules!$B$13)</f>
        <v>health</v>
      </c>
      <c r="D92" s="2" t="s">
        <v>1103</v>
      </c>
      <c r="E92" s="10"/>
      <c r="F92" s="10" t="s">
        <v>1104</v>
      </c>
      <c r="G92" s="10"/>
      <c r="H92" s="10" t="s">
        <v>1105</v>
      </c>
      <c r="I92" s="10"/>
      <c r="J92" s="10" t="str">
        <f t="shared" si="2"/>
        <v>healthMentalMcsP50</v>
      </c>
      <c r="K92" s="2" t="s">
        <v>606</v>
      </c>
      <c r="L92" s="10" t="s">
        <v>1034</v>
      </c>
      <c r="M92" s="10" t="str">
        <f t="shared" si="3"/>
        <v>No</v>
      </c>
      <c r="R92" s="4" t="s">
        <v>605</v>
      </c>
      <c r="S92" s="2" t="s">
        <v>531</v>
      </c>
    </row>
    <row r="93" spans="1:21" ht="13.5" customHeight="1" x14ac:dyDescent="0.2">
      <c r="A93" s="10" t="s">
        <v>202</v>
      </c>
      <c r="B93" s="10"/>
      <c r="C93" s="10" t="str" cm="1">
        <f t="array" ref="C93">_xlfn.IFS(S93 = Modules!$A$2,Modules!$B$2,S93 = Modules!$A$3,Modules!$B$3,S93 = Modules!$A$4,Modules!$B$4,S93 = Modules!$A$5,Modules!$B$5,S93 = Modules!$A$6,Modules!$B$6,S93 = Modules!$A$7,Modules!$B$7,S93 = Modules!$A$8,Modules!$B$8,S93 = Modules!$A$9,Modules!$B$9,S93 = Modules!$A$10,Modules!$B$10,S93 = Modules!$A$11,Modules!$B$11,S93 = Modules!$A$12,Modules!$B$12, S93 = Modules!$A$13,Modules!$B$13)</f>
        <v>health</v>
      </c>
      <c r="D93" s="2" t="s">
        <v>1103</v>
      </c>
      <c r="E93" s="10"/>
      <c r="F93" s="10" t="s">
        <v>1104</v>
      </c>
      <c r="G93" s="10"/>
      <c r="H93" s="10" t="s">
        <v>1106</v>
      </c>
      <c r="I93" s="10"/>
      <c r="J93" s="10" t="str">
        <f t="shared" si="2"/>
        <v>healthMentalMcsP10</v>
      </c>
      <c r="K93" s="2" t="s">
        <v>607</v>
      </c>
      <c r="L93" s="10" t="s">
        <v>1034</v>
      </c>
      <c r="M93" s="10" t="str">
        <f t="shared" si="3"/>
        <v>No</v>
      </c>
      <c r="R93" s="4" t="s">
        <v>605</v>
      </c>
      <c r="S93" s="2" t="s">
        <v>531</v>
      </c>
    </row>
    <row r="94" spans="1:21" ht="13.5" customHeight="1" x14ac:dyDescent="0.2">
      <c r="A94" s="10" t="s">
        <v>203</v>
      </c>
      <c r="B94" s="10"/>
      <c r="C94" s="10" t="str" cm="1">
        <f t="array" ref="C94">_xlfn.IFS(S94 = Modules!$A$2,Modules!$B$2,S94 = Modules!$A$3,Modules!$B$3,S94 = Modules!$A$4,Modules!$B$4,S94 = Modules!$A$5,Modules!$B$5,S94 = Modules!$A$6,Modules!$B$6,S94 = Modules!$A$7,Modules!$B$7,S94 = Modules!$A$8,Modules!$B$8,S94 = Modules!$A$9,Modules!$B$9,S94 = Modules!$A$10,Modules!$B$10,S94 = Modules!$A$11,Modules!$B$11,S94 = Modules!$A$12,Modules!$B$12, S94 = Modules!$A$13,Modules!$B$13)</f>
        <v>health</v>
      </c>
      <c r="D94" s="2" t="s">
        <v>1103</v>
      </c>
      <c r="E94" s="10"/>
      <c r="F94" s="10" t="s">
        <v>1104</v>
      </c>
      <c r="G94" s="10"/>
      <c r="H94" s="10" t="s">
        <v>1107</v>
      </c>
      <c r="I94" s="10"/>
      <c r="J94" s="10" t="str">
        <f t="shared" si="2"/>
        <v>healthMentalMcsP25</v>
      </c>
      <c r="K94" s="2" t="s">
        <v>608</v>
      </c>
      <c r="L94" s="10" t="s">
        <v>1034</v>
      </c>
      <c r="M94" s="10" t="str">
        <f t="shared" si="3"/>
        <v>No</v>
      </c>
      <c r="R94" s="4" t="s">
        <v>605</v>
      </c>
      <c r="S94" s="2" t="s">
        <v>531</v>
      </c>
    </row>
    <row r="95" spans="1:21" ht="13.5" customHeight="1" x14ac:dyDescent="0.2">
      <c r="A95" s="10" t="s">
        <v>204</v>
      </c>
      <c r="B95" s="10"/>
      <c r="C95" s="10" t="str" cm="1">
        <f t="array" ref="C95">_xlfn.IFS(S95 = Modules!$A$2,Modules!$B$2,S95 = Modules!$A$3,Modules!$B$3,S95 = Modules!$A$4,Modules!$B$4,S95 = Modules!$A$5,Modules!$B$5,S95 = Modules!$A$6,Modules!$B$6,S95 = Modules!$A$7,Modules!$B$7,S95 = Modules!$A$8,Modules!$B$8,S95 = Modules!$A$9,Modules!$B$9,S95 = Modules!$A$10,Modules!$B$10,S95 = Modules!$A$11,Modules!$B$11,S95 = Modules!$A$12,Modules!$B$12, S95 = Modules!$A$13,Modules!$B$13)</f>
        <v>health</v>
      </c>
      <c r="D95" s="2" t="s">
        <v>1103</v>
      </c>
      <c r="E95" s="10"/>
      <c r="F95" s="10" t="s">
        <v>1104</v>
      </c>
      <c r="G95" s="10"/>
      <c r="H95" s="10" t="s">
        <v>1108</v>
      </c>
      <c r="I95" s="10"/>
      <c r="J95" s="10" t="str">
        <f t="shared" si="2"/>
        <v>healthMentalMcsP75</v>
      </c>
      <c r="K95" s="2" t="s">
        <v>609</v>
      </c>
      <c r="L95" s="10" t="s">
        <v>1034</v>
      </c>
      <c r="M95" s="10" t="str">
        <f t="shared" si="3"/>
        <v>No</v>
      </c>
      <c r="R95" s="4" t="s">
        <v>605</v>
      </c>
      <c r="S95" s="2" t="s">
        <v>531</v>
      </c>
    </row>
    <row r="96" spans="1:21" ht="13.5" customHeight="1" x14ac:dyDescent="0.2">
      <c r="A96" s="10" t="s">
        <v>205</v>
      </c>
      <c r="B96" s="10"/>
      <c r="C96" s="10" t="str" cm="1">
        <f t="array" ref="C96">_xlfn.IFS(S96 = Modules!$A$2,Modules!$B$2,S96 = Modules!$A$3,Modules!$B$3,S96 = Modules!$A$4,Modules!$B$4,S96 = Modules!$A$5,Modules!$B$5,S96 = Modules!$A$6,Modules!$B$6,S96 = Modules!$A$7,Modules!$B$7,S96 = Modules!$A$8,Modules!$B$8,S96 = Modules!$A$9,Modules!$B$9,S96 = Modules!$A$10,Modules!$B$10,S96 = Modules!$A$11,Modules!$B$11,S96 = Modules!$A$12,Modules!$B$12, S96 = Modules!$A$13,Modules!$B$13)</f>
        <v>health</v>
      </c>
      <c r="D96" s="2" t="s">
        <v>1103</v>
      </c>
      <c r="E96" s="10"/>
      <c r="F96" s="10" t="s">
        <v>1104</v>
      </c>
      <c r="G96" s="10"/>
      <c r="H96" s="10" t="s">
        <v>1109</v>
      </c>
      <c r="I96" s="10"/>
      <c r="J96" s="10" t="str">
        <f t="shared" si="2"/>
        <v>healthMentalMcsP90</v>
      </c>
      <c r="K96" s="2" t="s">
        <v>610</v>
      </c>
      <c r="L96" s="10" t="s">
        <v>1034</v>
      </c>
      <c r="M96" s="10" t="str">
        <f t="shared" si="3"/>
        <v>No</v>
      </c>
      <c r="R96" s="4" t="s">
        <v>605</v>
      </c>
      <c r="S96" s="2" t="s">
        <v>531</v>
      </c>
    </row>
    <row r="97" spans="1:21" ht="13.5" customHeight="1" x14ac:dyDescent="0.2">
      <c r="A97" s="10" t="s">
        <v>163</v>
      </c>
      <c r="B97" s="10"/>
      <c r="C97" s="10" t="str" cm="1">
        <f t="array" ref="C97">_xlfn.IFS(S97 = Modules!$A$2,Modules!$B$2,S97 = Modules!$A$3,Modules!$B$3,S97 = Modules!$A$4,Modules!$B$4,S97 = Modules!$A$5,Modules!$B$5,S97 = Modules!$A$6,Modules!$B$6,S97 = Modules!$A$7,Modules!$B$7,S97 = Modules!$A$8,Modules!$B$8,S97 = Modules!$A$9,Modules!$B$9,S97 = Modules!$A$10,Modules!$B$10,S97 = Modules!$A$11,Modules!$B$11,S97 = Modules!$A$12,Modules!$B$12, S97 = Modules!$A$13,Modules!$B$13)</f>
        <v>health</v>
      </c>
      <c r="D97" s="2" t="s">
        <v>1103</v>
      </c>
      <c r="E97" s="10" t="s">
        <v>1087</v>
      </c>
      <c r="F97" s="10" t="s">
        <v>1104</v>
      </c>
      <c r="G97" s="10"/>
      <c r="H97" s="10"/>
      <c r="I97" s="10"/>
      <c r="J97" s="10" t="str">
        <f t="shared" si="2"/>
        <v>healthMentalPartnerMcs</v>
      </c>
      <c r="K97" s="2" t="s">
        <v>522</v>
      </c>
      <c r="L97" s="8" t="s">
        <v>334</v>
      </c>
      <c r="M97" s="10" t="str">
        <f t="shared" si="3"/>
        <v>Yes</v>
      </c>
      <c r="O97" s="2" t="s">
        <v>521</v>
      </c>
      <c r="S97" s="2" t="s">
        <v>531</v>
      </c>
    </row>
    <row r="98" spans="1:21" ht="13.5" customHeight="1" x14ac:dyDescent="0.2">
      <c r="A98" s="10" t="s">
        <v>162</v>
      </c>
      <c r="B98" s="10"/>
      <c r="C98" s="10" t="str" cm="1">
        <f t="array" ref="C98">_xlfn.IFS(S98 = Modules!$A$2,Modules!$B$2,S98 = Modules!$A$3,Modules!$B$3,S98 = Modules!$A$4,Modules!$B$4,S98 = Modules!$A$5,Modules!$B$5,S98 = Modules!$A$6,Modules!$B$6,S98 = Modules!$A$7,Modules!$B$7,S98 = Modules!$A$8,Modules!$B$8,S98 = Modules!$A$9,Modules!$B$9,S98 = Modules!$A$10,Modules!$B$10,S98 = Modules!$A$11,Modules!$B$11,S98 = Modules!$A$12,Modules!$B$12, S98 = Modules!$A$13,Modules!$B$13)</f>
        <v>health</v>
      </c>
      <c r="D98" s="2" t="s">
        <v>1110</v>
      </c>
      <c r="E98" s="10"/>
      <c r="F98" s="10" t="s">
        <v>1111</v>
      </c>
      <c r="G98" s="10"/>
      <c r="H98" s="10"/>
      <c r="I98" s="10"/>
      <c r="J98" s="10" t="str">
        <f t="shared" si="2"/>
        <v>healthPhysicalPcs</v>
      </c>
      <c r="K98" s="2" t="s">
        <v>519</v>
      </c>
      <c r="L98" s="8" t="s">
        <v>334</v>
      </c>
      <c r="M98" s="10" t="str">
        <f t="shared" si="3"/>
        <v>Yes</v>
      </c>
      <c r="N98" s="2" t="s">
        <v>518</v>
      </c>
      <c r="O98" s="4" t="s">
        <v>521</v>
      </c>
      <c r="P98" s="4"/>
      <c r="Q98" s="4"/>
      <c r="S98" s="2" t="s">
        <v>531</v>
      </c>
    </row>
    <row r="99" spans="1:21" ht="16" x14ac:dyDescent="0.2">
      <c r="A99" s="10" t="s">
        <v>375</v>
      </c>
      <c r="B99" s="10"/>
      <c r="C99" s="10" t="str" cm="1">
        <f t="array" ref="C99">_xlfn.IFS(S99 = Modules!$A$2,Modules!$B$2,S99 = Modules!$A$3,Modules!$B$3,S99 = Modules!$A$4,Modules!$B$4,S99 = Modules!$A$5,Modules!$B$5,S99 = Modules!$A$6,Modules!$B$6,S99 = Modules!$A$7,Modules!$B$7,S99 = Modules!$A$8,Modules!$B$8,S99 = Modules!$A$9,Modules!$B$9,S99 = Modules!$A$10,Modules!$B$10,S99 = Modules!$A$11,Modules!$B$11,S99 = Modules!$A$12,Modules!$B$12, S99 = Modules!$A$13,Modules!$B$13)</f>
        <v>health</v>
      </c>
      <c r="D99" s="2" t="s">
        <v>1110</v>
      </c>
      <c r="E99" s="10"/>
      <c r="F99" s="10" t="s">
        <v>1111</v>
      </c>
      <c r="G99" s="10"/>
      <c r="H99" s="10"/>
      <c r="I99" s="10" t="s">
        <v>1063</v>
      </c>
      <c r="J99" s="10" t="str">
        <f t="shared" si="2"/>
        <v>healthPhysicalPcsL1</v>
      </c>
      <c r="K99" s="2" t="s">
        <v>520</v>
      </c>
      <c r="L99" s="10" t="s">
        <v>334</v>
      </c>
      <c r="M99" s="10" t="str">
        <f t="shared" si="3"/>
        <v>No</v>
      </c>
      <c r="S99" s="2" t="s">
        <v>531</v>
      </c>
    </row>
    <row r="100" spans="1:21" ht="13.5" customHeight="1" x14ac:dyDescent="0.2">
      <c r="A100" s="10" t="s">
        <v>206</v>
      </c>
      <c r="B100" s="10"/>
      <c r="C100" s="10" t="str" cm="1">
        <f t="array" ref="C100">_xlfn.IFS(S100 = Modules!$A$2,Modules!$B$2,S100 = Modules!$A$3,Modules!$B$3,S100 = Modules!$A$4,Modules!$B$4,S100 = Modules!$A$5,Modules!$B$5,S100 = Modules!$A$6,Modules!$B$6,S100 = Modules!$A$7,Modules!$B$7,S100 = Modules!$A$8,Modules!$B$8,S100 = Modules!$A$9,Modules!$B$9,S100 = Modules!$A$10,Modules!$B$10,S100 = Modules!$A$11,Modules!$B$11,S100 = Modules!$A$12,Modules!$B$12, S100 = Modules!$A$13,Modules!$B$13)</f>
        <v>health</v>
      </c>
      <c r="D100" s="2" t="s">
        <v>1110</v>
      </c>
      <c r="E100" s="10"/>
      <c r="F100" s="10" t="s">
        <v>1111</v>
      </c>
      <c r="G100" s="10"/>
      <c r="H100" s="10" t="s">
        <v>1057</v>
      </c>
      <c r="I100" s="10"/>
      <c r="J100" s="10" t="str">
        <f t="shared" si="2"/>
        <v>healthPhysicalPcsAvg</v>
      </c>
      <c r="K100" s="6" t="s">
        <v>611</v>
      </c>
      <c r="L100" s="10" t="s">
        <v>1034</v>
      </c>
      <c r="M100" s="10" t="str">
        <f t="shared" si="3"/>
        <v>No</v>
      </c>
      <c r="R100" s="4" t="s">
        <v>605</v>
      </c>
      <c r="S100" s="2" t="s">
        <v>531</v>
      </c>
    </row>
    <row r="101" spans="1:21" ht="13.5" customHeight="1" x14ac:dyDescent="0.2">
      <c r="A101" s="10" t="s">
        <v>207</v>
      </c>
      <c r="B101" s="10"/>
      <c r="C101" s="10" t="str" cm="1">
        <f t="array" ref="C101">_xlfn.IFS(S101 = Modules!$A$2,Modules!$B$2,S101 = Modules!$A$3,Modules!$B$3,S101 = Modules!$A$4,Modules!$B$4,S101 = Modules!$A$5,Modules!$B$5,S101 = Modules!$A$6,Modules!$B$6,S101 = Modules!$A$7,Modules!$B$7,S101 = Modules!$A$8,Modules!$B$8,S101 = Modules!$A$9,Modules!$B$9,S101 = Modules!$A$10,Modules!$B$10,S101 = Modules!$A$11,Modules!$B$11,S101 = Modules!$A$12,Modules!$B$12, S101 = Modules!$A$13,Modules!$B$13)</f>
        <v>health</v>
      </c>
      <c r="D101" s="2" t="s">
        <v>1110</v>
      </c>
      <c r="E101" s="10"/>
      <c r="F101" s="10" t="s">
        <v>1111</v>
      </c>
      <c r="G101" s="10"/>
      <c r="H101" s="10" t="s">
        <v>1105</v>
      </c>
      <c r="I101" s="10"/>
      <c r="J101" s="10" t="str">
        <f t="shared" si="2"/>
        <v>healthPhysicalPcsP50</v>
      </c>
      <c r="K101" s="6" t="s">
        <v>612</v>
      </c>
      <c r="L101" s="10" t="s">
        <v>1034</v>
      </c>
      <c r="M101" s="10" t="str">
        <f t="shared" si="3"/>
        <v>No</v>
      </c>
      <c r="R101" s="4" t="s">
        <v>605</v>
      </c>
      <c r="S101" s="2" t="s">
        <v>531</v>
      </c>
    </row>
    <row r="102" spans="1:21" ht="13.5" customHeight="1" x14ac:dyDescent="0.2">
      <c r="A102" s="10" t="s">
        <v>208</v>
      </c>
      <c r="B102" s="10"/>
      <c r="C102" s="10" t="str" cm="1">
        <f t="array" ref="C102">_xlfn.IFS(S102 = Modules!$A$2,Modules!$B$2,S102 = Modules!$A$3,Modules!$B$3,S102 = Modules!$A$4,Modules!$B$4,S102 = Modules!$A$5,Modules!$B$5,S102 = Modules!$A$6,Modules!$B$6,S102 = Modules!$A$7,Modules!$B$7,S102 = Modules!$A$8,Modules!$B$8,S102 = Modules!$A$9,Modules!$B$9,S102 = Modules!$A$10,Modules!$B$10,S102 = Modules!$A$11,Modules!$B$11,S102 = Modules!$A$12,Modules!$B$12, S102 = Modules!$A$13,Modules!$B$13)</f>
        <v>health</v>
      </c>
      <c r="D102" s="2" t="s">
        <v>1110</v>
      </c>
      <c r="E102" s="10"/>
      <c r="F102" s="10" t="s">
        <v>1111</v>
      </c>
      <c r="G102" s="10"/>
      <c r="H102" s="10" t="s">
        <v>1106</v>
      </c>
      <c r="I102" s="10"/>
      <c r="J102" s="10" t="str">
        <f t="shared" si="2"/>
        <v>healthPhysicalPcsP10</v>
      </c>
      <c r="K102" s="6" t="s">
        <v>613</v>
      </c>
      <c r="L102" s="10" t="s">
        <v>1034</v>
      </c>
      <c r="M102" s="10" t="str">
        <f t="shared" si="3"/>
        <v>No</v>
      </c>
      <c r="R102" s="4" t="s">
        <v>605</v>
      </c>
      <c r="S102" s="2" t="s">
        <v>531</v>
      </c>
    </row>
    <row r="103" spans="1:21" ht="16" x14ac:dyDescent="0.2">
      <c r="A103" s="10" t="s">
        <v>209</v>
      </c>
      <c r="B103" s="10"/>
      <c r="C103" s="10" t="str" cm="1">
        <f t="array" ref="C103">_xlfn.IFS(S103 = Modules!$A$2,Modules!$B$2,S103 = Modules!$A$3,Modules!$B$3,S103 = Modules!$A$4,Modules!$B$4,S103 = Modules!$A$5,Modules!$B$5,S103 = Modules!$A$6,Modules!$B$6,S103 = Modules!$A$7,Modules!$B$7,S103 = Modules!$A$8,Modules!$B$8,S103 = Modules!$A$9,Modules!$B$9,S103 = Modules!$A$10,Modules!$B$10,S103 = Modules!$A$11,Modules!$B$11,S103 = Modules!$A$12,Modules!$B$12, S103 = Modules!$A$13,Modules!$B$13)</f>
        <v>health</v>
      </c>
      <c r="D103" s="2" t="s">
        <v>1110</v>
      </c>
      <c r="E103" s="10"/>
      <c r="F103" s="10" t="s">
        <v>1111</v>
      </c>
      <c r="G103" s="10"/>
      <c r="H103" s="10" t="s">
        <v>1107</v>
      </c>
      <c r="I103" s="10"/>
      <c r="J103" s="10" t="str">
        <f t="shared" si="2"/>
        <v>healthPhysicalPcsP25</v>
      </c>
      <c r="K103" s="6" t="s">
        <v>614</v>
      </c>
      <c r="L103" s="10" t="s">
        <v>1034</v>
      </c>
      <c r="M103" s="10" t="str">
        <f t="shared" si="3"/>
        <v>No</v>
      </c>
      <c r="R103" s="4" t="s">
        <v>605</v>
      </c>
      <c r="S103" s="2" t="s">
        <v>531</v>
      </c>
    </row>
    <row r="104" spans="1:21" ht="16" x14ac:dyDescent="0.2">
      <c r="A104" s="10" t="s">
        <v>210</v>
      </c>
      <c r="B104" s="10"/>
      <c r="C104" s="10" t="str" cm="1">
        <f t="array" ref="C104">_xlfn.IFS(S104 = Modules!$A$2,Modules!$B$2,S104 = Modules!$A$3,Modules!$B$3,S104 = Modules!$A$4,Modules!$B$4,S104 = Modules!$A$5,Modules!$B$5,S104 = Modules!$A$6,Modules!$B$6,S104 = Modules!$A$7,Modules!$B$7,S104 = Modules!$A$8,Modules!$B$8,S104 = Modules!$A$9,Modules!$B$9,S104 = Modules!$A$10,Modules!$B$10,S104 = Modules!$A$11,Modules!$B$11,S104 = Modules!$A$12,Modules!$B$12, S104 = Modules!$A$13,Modules!$B$13)</f>
        <v>health</v>
      </c>
      <c r="D104" s="2" t="s">
        <v>1110</v>
      </c>
      <c r="E104" s="10"/>
      <c r="F104" s="10" t="s">
        <v>1111</v>
      </c>
      <c r="G104" s="10"/>
      <c r="H104" s="10" t="s">
        <v>1108</v>
      </c>
      <c r="I104" s="10"/>
      <c r="J104" s="10" t="str">
        <f t="shared" si="2"/>
        <v>healthPhysicalPcsP75</v>
      </c>
      <c r="K104" s="6" t="s">
        <v>615</v>
      </c>
      <c r="L104" s="10" t="s">
        <v>1034</v>
      </c>
      <c r="M104" s="10" t="str">
        <f t="shared" si="3"/>
        <v>No</v>
      </c>
      <c r="R104" s="4" t="s">
        <v>605</v>
      </c>
      <c r="S104" s="2" t="s">
        <v>531</v>
      </c>
    </row>
    <row r="105" spans="1:21" ht="13.5" customHeight="1" x14ac:dyDescent="0.2">
      <c r="A105" s="10" t="s">
        <v>211</v>
      </c>
      <c r="B105" s="10"/>
      <c r="C105" s="10" t="str" cm="1">
        <f t="array" ref="C105">_xlfn.IFS(S105 = Modules!$A$2,Modules!$B$2,S105 = Modules!$A$3,Modules!$B$3,S105 = Modules!$A$4,Modules!$B$4,S105 = Modules!$A$5,Modules!$B$5,S105 = Modules!$A$6,Modules!$B$6,S105 = Modules!$A$7,Modules!$B$7,S105 = Modules!$A$8,Modules!$B$8,S105 = Modules!$A$9,Modules!$B$9,S105 = Modules!$A$10,Modules!$B$10,S105 = Modules!$A$11,Modules!$B$11,S105 = Modules!$A$12,Modules!$B$12, S105 = Modules!$A$13,Modules!$B$13)</f>
        <v>health</v>
      </c>
      <c r="D105" s="2" t="s">
        <v>1110</v>
      </c>
      <c r="E105" s="10"/>
      <c r="F105" s="10" t="s">
        <v>1111</v>
      </c>
      <c r="G105" s="10"/>
      <c r="H105" s="10" t="s">
        <v>1109</v>
      </c>
      <c r="I105" s="10"/>
      <c r="J105" s="10" t="str">
        <f t="shared" si="2"/>
        <v>healthPhysicalPcsP90</v>
      </c>
      <c r="K105" s="6" t="s">
        <v>616</v>
      </c>
      <c r="L105" s="10" t="s">
        <v>1034</v>
      </c>
      <c r="M105" s="10" t="str">
        <f t="shared" si="3"/>
        <v>No</v>
      </c>
      <c r="R105" s="4" t="s">
        <v>605</v>
      </c>
      <c r="S105" s="2" t="s">
        <v>531</v>
      </c>
    </row>
    <row r="106" spans="1:21" ht="13.5" customHeight="1" x14ac:dyDescent="0.2">
      <c r="A106" s="10" t="s">
        <v>164</v>
      </c>
      <c r="B106" s="10"/>
      <c r="C106" s="10" t="str" cm="1">
        <f t="array" ref="C106">_xlfn.IFS(S106 = Modules!$A$2,Modules!$B$2,S106 = Modules!$A$3,Modules!$B$3,S106 = Modules!$A$4,Modules!$B$4,S106 = Modules!$A$5,Modules!$B$5,S106 = Modules!$A$6,Modules!$B$6,S106 = Modules!$A$7,Modules!$B$7,S106 = Modules!$A$8,Modules!$B$8,S106 = Modules!$A$9,Modules!$B$9,S106 = Modules!$A$10,Modules!$B$10,S106 = Modules!$A$11,Modules!$B$11,S106 = Modules!$A$12,Modules!$B$12, S106 = Modules!$A$13,Modules!$B$13)</f>
        <v>health</v>
      </c>
      <c r="D106" s="2" t="s">
        <v>1110</v>
      </c>
      <c r="E106" s="10" t="s">
        <v>1087</v>
      </c>
      <c r="F106" s="10" t="s">
        <v>1111</v>
      </c>
      <c r="G106" s="10"/>
      <c r="H106" s="10"/>
      <c r="I106" s="10"/>
      <c r="J106" s="10" t="str">
        <f t="shared" si="2"/>
        <v>healthPhysicalPartnerPcs</v>
      </c>
      <c r="K106" s="2" t="s">
        <v>523</v>
      </c>
      <c r="L106" s="8" t="s">
        <v>334</v>
      </c>
      <c r="M106" s="10" t="str">
        <f t="shared" si="3"/>
        <v>Yes</v>
      </c>
      <c r="O106" s="2" t="s">
        <v>521</v>
      </c>
      <c r="S106" s="2" t="s">
        <v>531</v>
      </c>
    </row>
    <row r="107" spans="1:21" ht="96" x14ac:dyDescent="0.2">
      <c r="A107" s="2" t="s">
        <v>61</v>
      </c>
      <c r="C107" s="10" t="str" cm="1">
        <f t="array" ref="C107">_xlfn.IFS(S107 = Modules!$A$2,Modules!$B$2,S107 = Modules!$A$3,Modules!$B$3,S107 = Modules!$A$4,Modules!$B$4,S107 = Modules!$A$5,Modules!$B$5,S107 = Modules!$A$6,Modules!$B$6,S107 = Modules!$A$7,Modules!$B$7,S107 = Modules!$A$8,Modules!$B$8,S107 = Modules!$A$9,Modules!$B$9,S107 = Modules!$A$10,Modules!$B$10,S107 = Modules!$A$11,Modules!$B$11,S107 = Modules!$A$12,Modules!$B$12, S107 = Modules!$A$13,Modules!$B$13)</f>
        <v>health</v>
      </c>
      <c r="E107" s="2" t="s">
        <v>1087</v>
      </c>
      <c r="G107" s="2" t="s">
        <v>1101</v>
      </c>
      <c r="J107" s="10" t="str">
        <f t="shared" si="2"/>
        <v>healthPartnerSelfRated</v>
      </c>
      <c r="K107" s="2" t="s">
        <v>471</v>
      </c>
      <c r="L107" s="2" t="s">
        <v>334</v>
      </c>
      <c r="M107" s="10" t="str">
        <f t="shared" si="3"/>
        <v>Yes</v>
      </c>
      <c r="N107" s="2" t="s">
        <v>16</v>
      </c>
      <c r="O107" s="2" t="s">
        <v>521</v>
      </c>
      <c r="P107" s="2" t="s">
        <v>1360</v>
      </c>
      <c r="Q107" s="6" t="s">
        <v>1253</v>
      </c>
      <c r="S107" s="2" t="s">
        <v>531</v>
      </c>
      <c r="U107" s="2" t="s">
        <v>62</v>
      </c>
    </row>
    <row r="108" spans="1:21" ht="13.5" customHeight="1" x14ac:dyDescent="0.2">
      <c r="A108" s="2" t="s">
        <v>359</v>
      </c>
      <c r="C108" s="10" t="str" cm="1">
        <f t="array" ref="C108">_xlfn.IFS(S108 = Modules!$A$2,Modules!$B$2,S108 = Modules!$A$3,Modules!$B$3,S108 = Modules!$A$4,Modules!$B$4,S108 = Modules!$A$5,Modules!$B$5,S108 = Modules!$A$6,Modules!$B$6,S108 = Modules!$A$7,Modules!$B$7,S108 = Modules!$A$8,Modules!$B$8,S108 = Modules!$A$9,Modules!$B$9,S108 = Modules!$A$10,Modules!$B$10,S108 = Modules!$A$11,Modules!$B$11,S108 = Modules!$A$12,Modules!$B$12, S108 = Modules!$A$13,Modules!$B$13)</f>
        <v>health</v>
      </c>
      <c r="E108" s="2" t="s">
        <v>1087</v>
      </c>
      <c r="G108" s="2" t="s">
        <v>1101</v>
      </c>
      <c r="I108" s="2" t="s">
        <v>1063</v>
      </c>
      <c r="J108" s="10" t="str">
        <f t="shared" si="2"/>
        <v>healthPartnerSelfRatedL1</v>
      </c>
      <c r="K108" s="2" t="s">
        <v>483</v>
      </c>
      <c r="L108" s="2" t="s">
        <v>334</v>
      </c>
      <c r="M108" s="10" t="str">
        <f t="shared" si="3"/>
        <v>No</v>
      </c>
      <c r="S108" s="2" t="s">
        <v>531</v>
      </c>
    </row>
    <row r="109" spans="1:21" ht="13.5" customHeight="1" x14ac:dyDescent="0.2">
      <c r="A109" s="2" t="s">
        <v>125</v>
      </c>
      <c r="C109" s="10" t="str" cm="1">
        <f t="array" ref="C109">_xlfn.IFS(S109 = Modules!$A$2,Modules!$B$2,S109 = Modules!$A$3,Modules!$B$3,S109 = Modules!$A$4,Modules!$B$4,S109 = Modules!$A$5,Modules!$B$5,S109 = Modules!$A$6,Modules!$B$6,S109 = Modules!$A$7,Modules!$B$7,S109 = Modules!$A$8,Modules!$B$8,S109 = Modules!$A$9,Modules!$B$9,S109 = Modules!$A$10,Modules!$B$10,S109 = Modules!$A$11,Modules!$B$11,S109 = Modules!$A$12,Modules!$B$12, S109 = Modules!$A$13,Modules!$B$13)</f>
        <v>wealth</v>
      </c>
      <c r="D109" s="2" t="s">
        <v>1112</v>
      </c>
      <c r="H109" s="2" t="s">
        <v>981</v>
      </c>
      <c r="J109" s="10" t="str">
        <f t="shared" si="2"/>
        <v>wealthPrptyFlag</v>
      </c>
      <c r="K109" s="2" t="s">
        <v>126</v>
      </c>
      <c r="L109" s="2" t="s">
        <v>334</v>
      </c>
      <c r="M109" s="10" t="str">
        <f t="shared" si="3"/>
        <v>Yes</v>
      </c>
      <c r="N109" s="2" t="s">
        <v>127</v>
      </c>
      <c r="O109" s="2" t="s">
        <v>521</v>
      </c>
      <c r="P109" s="2" t="s">
        <v>1307</v>
      </c>
      <c r="Q109" s="6" t="s">
        <v>1253</v>
      </c>
      <c r="S109" s="2" t="s">
        <v>478</v>
      </c>
      <c r="U109" s="2" t="s">
        <v>129</v>
      </c>
    </row>
    <row r="110" spans="1:21" ht="13.5" customHeight="1" x14ac:dyDescent="0.2">
      <c r="A110" s="10" t="s">
        <v>178</v>
      </c>
      <c r="B110" s="10"/>
      <c r="C110" s="10" t="str" cm="1">
        <f t="array" ref="C110">_xlfn.IFS(S110 = Modules!$A$2,Modules!$B$2,S110 = Modules!$A$3,Modules!$B$3,S110 = Modules!$A$4,Modules!$B$4,S110 = Modules!$A$5,Modules!$B$5,S110 = Modules!$A$6,Modules!$B$6,S110 = Modules!$A$7,Modules!$B$7,S110 = Modules!$A$8,Modules!$B$8,S110 = Modules!$A$9,Modules!$B$9,S110 = Modules!$A$10,Modules!$B$10,S110 = Modules!$A$11,Modules!$B$11,S110 = Modules!$A$12,Modules!$B$12, S110 = Modules!$A$13,Modules!$B$13)</f>
        <v>wealth</v>
      </c>
      <c r="D110" s="2" t="s">
        <v>1112</v>
      </c>
      <c r="H110" s="2" t="s">
        <v>981</v>
      </c>
      <c r="I110" s="10"/>
      <c r="J110" s="10" t="str">
        <f t="shared" si="2"/>
        <v>wealthPrptyFlag</v>
      </c>
      <c r="K110" s="2" t="s">
        <v>714</v>
      </c>
      <c r="L110" s="2" t="s">
        <v>451</v>
      </c>
      <c r="M110" s="10" t="str">
        <f t="shared" si="3"/>
        <v>No</v>
      </c>
      <c r="S110" s="2" t="s">
        <v>478</v>
      </c>
    </row>
    <row r="111" spans="1:21" ht="13.5" customHeight="1" x14ac:dyDescent="0.2">
      <c r="A111" s="2" t="s">
        <v>57</v>
      </c>
      <c r="C111" s="10" t="str" cm="1">
        <f t="array" ref="C111">_xlfn.IFS(S111 = Modules!$A$2,Modules!$B$2,S111 = Modules!$A$3,Modules!$B$3,S111 = Modules!$A$4,Modules!$B$4,S111 = Modules!$A$5,Modules!$B$5,S111 = Modules!$A$6,Modules!$B$6,S111 = Modules!$A$7,Modules!$B$7,S111 = Modules!$A$8,Modules!$B$8,S111 = Modules!$A$9,Modules!$B$9,S111 = Modules!$A$10,Modules!$B$10,S111 = Modules!$A$11,Modules!$B$11,S111 = Modules!$A$12,Modules!$B$12, S111 = Modules!$A$13,Modules!$B$13)</f>
        <v>dem</v>
      </c>
      <c r="D111" s="2" t="s">
        <v>1115</v>
      </c>
      <c r="E111" s="2" t="s">
        <v>1116</v>
      </c>
      <c r="J111" s="10" t="str">
        <f t="shared" si="2"/>
        <v>demCompHh</v>
      </c>
      <c r="K111" s="2" t="s">
        <v>939</v>
      </c>
      <c r="L111" s="2" t="s">
        <v>451</v>
      </c>
      <c r="M111" s="10" t="str">
        <f t="shared" si="3"/>
        <v>Yes</v>
      </c>
      <c r="N111" s="2" t="s">
        <v>634</v>
      </c>
      <c r="O111" s="2" t="s">
        <v>521</v>
      </c>
      <c r="S111" s="6" t="s">
        <v>975</v>
      </c>
      <c r="U111" s="2" t="s">
        <v>69</v>
      </c>
    </row>
    <row r="112" spans="1:21" ht="13.5" customHeight="1" x14ac:dyDescent="0.2">
      <c r="A112" s="2" t="s">
        <v>134</v>
      </c>
      <c r="C112" s="10" t="str" cm="1">
        <f t="array" ref="C112">_xlfn.IFS(S112 = Modules!$A$2,Modules!$B$2,S112 = Modules!$A$3,Modules!$B$3,S112 = Modules!$A$4,Modules!$B$4,S112 = Modules!$A$5,Modules!$B$5,S112 = Modules!$A$6,Modules!$B$6,S112 = Modules!$A$7,Modules!$B$7,S112 = Modules!$A$8,Modules!$B$8,S112 = Modules!$A$9,Modules!$B$9,S112 = Modules!$A$10,Modules!$B$10,S112 = Modules!$A$11,Modules!$B$11,S112 = Modules!$A$12,Modules!$B$12, S112 = Modules!$A$13,Modules!$B$13)</f>
        <v>dem</v>
      </c>
      <c r="D112" s="2" t="s">
        <v>1115</v>
      </c>
      <c r="E112" s="2" t="s">
        <v>1116</v>
      </c>
      <c r="H112" s="2" t="s">
        <v>1117</v>
      </c>
      <c r="J112" s="10" t="str">
        <f t="shared" si="2"/>
        <v>demCompHhC4</v>
      </c>
      <c r="K112" s="2" t="s">
        <v>939</v>
      </c>
      <c r="L112" s="2" t="s">
        <v>451</v>
      </c>
      <c r="M112" s="10" t="str">
        <f t="shared" si="3"/>
        <v>Yes</v>
      </c>
      <c r="N112" s="2" t="s">
        <v>634</v>
      </c>
      <c r="O112" s="2" t="s">
        <v>521</v>
      </c>
      <c r="P112" s="2" t="s">
        <v>1298</v>
      </c>
      <c r="Q112" s="6" t="s">
        <v>1253</v>
      </c>
      <c r="S112" s="6" t="s">
        <v>975</v>
      </c>
      <c r="U112" s="2" t="s">
        <v>69</v>
      </c>
    </row>
    <row r="113" spans="1:21" ht="13.5" customHeight="1" x14ac:dyDescent="0.2">
      <c r="A113" s="2" t="s">
        <v>445</v>
      </c>
      <c r="C113" s="10" t="str" cm="1">
        <f t="array" ref="C113">_xlfn.IFS(S113 = Modules!$A$2,Modules!$B$2,S113 = Modules!$A$3,Modules!$B$3,S113 = Modules!$A$4,Modules!$B$4,S113 = Modules!$A$5,Modules!$B$5,S113 = Modules!$A$6,Modules!$B$6,S113 = Modules!$A$7,Modules!$B$7,S113 = Modules!$A$8,Modules!$B$8,S113 = Modules!$A$9,Modules!$B$9,S113 = Modules!$A$10,Modules!$B$10,S113 = Modules!$A$11,Modules!$B$11,S113 = Modules!$A$12,Modules!$B$12, S113 = Modules!$A$13,Modules!$B$13)</f>
        <v>dem</v>
      </c>
      <c r="D113" s="2" t="s">
        <v>1115</v>
      </c>
      <c r="E113" s="2" t="s">
        <v>1116</v>
      </c>
      <c r="H113" s="2" t="s">
        <v>1117</v>
      </c>
      <c r="I113" s="2" t="s">
        <v>1063</v>
      </c>
      <c r="J113" s="10" t="str">
        <f t="shared" si="2"/>
        <v>demCompHhC4L1</v>
      </c>
      <c r="K113" s="2" t="s">
        <v>635</v>
      </c>
      <c r="L113" s="2" t="s">
        <v>451</v>
      </c>
      <c r="M113" s="10" t="str">
        <f t="shared" si="3"/>
        <v>No</v>
      </c>
      <c r="S113" s="2" t="s">
        <v>975</v>
      </c>
    </row>
    <row r="114" spans="1:21" ht="13.5" customHeight="1" x14ac:dyDescent="0.2">
      <c r="A114" s="2" t="s">
        <v>412</v>
      </c>
      <c r="B114" s="2" t="s">
        <v>1235</v>
      </c>
      <c r="C114" s="10" t="str" cm="1">
        <f t="array" ref="C114">_xlfn.IFS(S114 = Modules!$A$2,Modules!$B$2,S114 = Modules!$A$3,Modules!$B$3,S114 = Modules!$A$4,Modules!$B$4,S114 = Modules!$A$5,Modules!$B$5,S114 = Modules!$A$6,Modules!$B$6,S114 = Modules!$A$7,Modules!$B$7,S114 = Modules!$A$8,Modules!$B$8,S114 = Modules!$A$9,Modules!$B$9,S114 = Modules!$A$10,Modules!$B$10,S114 = Modules!$A$11,Modules!$B$11,S114 = Modules!$A$12,Modules!$B$12, S114 = Modules!$A$13,Modules!$B$13)</f>
        <v>dem</v>
      </c>
      <c r="D114" s="6" t="s">
        <v>1115</v>
      </c>
      <c r="E114" s="6" t="s">
        <v>1116</v>
      </c>
      <c r="F114" s="6"/>
      <c r="G114" s="6"/>
      <c r="H114" s="6" t="s">
        <v>1117</v>
      </c>
      <c r="I114" s="2" t="s">
        <v>1063</v>
      </c>
      <c r="J114" s="10" t="str">
        <f t="shared" si="2"/>
        <v>i_demCompHhC4L1</v>
      </c>
      <c r="K114" s="2" t="s">
        <v>887</v>
      </c>
      <c r="L114" s="2" t="s">
        <v>334</v>
      </c>
      <c r="M114" s="10" t="str">
        <f t="shared" si="3"/>
        <v>No</v>
      </c>
      <c r="S114" s="2" t="s">
        <v>975</v>
      </c>
      <c r="U114" s="2" t="s">
        <v>884</v>
      </c>
    </row>
    <row r="115" spans="1:21" ht="13.5" customHeight="1" x14ac:dyDescent="0.2">
      <c r="A115" s="6" t="s">
        <v>1299</v>
      </c>
      <c r="C115" s="2" t="str" cm="1">
        <f t="array" ref="C115">_xlfn.IFS(S115 = Modules!$A$2,Modules!$B$2,S115 = Modules!$A$3,Modules!$B$3,S115 = Modules!$A$4,Modules!$B$4,S115 = Modules!$A$5,Modules!$B$5,S115 = Modules!$A$6,Modules!$B$6,S115 = Modules!$A$7,Modules!$B$7,S115 = Modules!$A$8,Modules!$B$8,S115 = Modules!$A$9,Modules!$B$9,S115 = Modules!$A$10,Modules!$B$10,S115 = Modules!$A$11,Modules!$B$11,S115 = Modules!$A$12,Modules!$B$12, S115 = Modules!$A$13,Modules!$B$13)</f>
        <v>dem</v>
      </c>
      <c r="D115" s="2" t="s">
        <v>1115</v>
      </c>
      <c r="E115" s="2" t="s">
        <v>1116</v>
      </c>
      <c r="H115" s="2" t="s">
        <v>1350</v>
      </c>
      <c r="J115" s="2" t="str">
        <f t="shared" si="2"/>
        <v>demCompHhC8</v>
      </c>
      <c r="K115" s="2" t="s">
        <v>1351</v>
      </c>
      <c r="L115" s="2" t="s">
        <v>334</v>
      </c>
      <c r="M115" s="10" t="str">
        <f t="shared" si="3"/>
        <v>Yes</v>
      </c>
      <c r="P115" s="2" t="s">
        <v>1352</v>
      </c>
      <c r="Q115" s="6" t="s">
        <v>1253</v>
      </c>
      <c r="R115" s="2"/>
      <c r="S115" s="2" t="s">
        <v>975</v>
      </c>
      <c r="T115" s="2"/>
    </row>
    <row r="116" spans="1:21" ht="13.5" customHeight="1" x14ac:dyDescent="0.2">
      <c r="A116" s="2" t="s">
        <v>89</v>
      </c>
      <c r="C116" s="10" t="str" cm="1">
        <f t="array" ref="C116">_xlfn.IFS(S116 = Modules!$A$2,Modules!$B$2,S116 = Modules!$A$3,Modules!$B$3,S116 = Modules!$A$4,Modules!$B$4,S116 = Modules!$A$5,Modules!$B$5,S116 = Modules!$A$6,Modules!$B$6,S116 = Modules!$A$7,Modules!$B$7,S116 = Modules!$A$8,Modules!$B$8,S116 = Modules!$A$9,Modules!$B$9,S116 = Modules!$A$10,Modules!$B$10,S116 = Modules!$A$11,Modules!$B$11,S116 = Modules!$A$12,Modules!$B$12, S116 = Modules!$A$13,Modules!$B$13)</f>
        <v>wgt</v>
      </c>
      <c r="E116" s="2" t="s">
        <v>1116</v>
      </c>
      <c r="F116" s="2" t="s">
        <v>1121</v>
      </c>
      <c r="J116" s="10" t="str">
        <f t="shared" si="2"/>
        <v>wgtHhCross</v>
      </c>
      <c r="K116" s="2" t="s">
        <v>465</v>
      </c>
      <c r="L116" s="2" t="s">
        <v>170</v>
      </c>
      <c r="M116" s="10" t="str">
        <f t="shared" si="3"/>
        <v>Yes</v>
      </c>
      <c r="N116" s="2" t="s">
        <v>512</v>
      </c>
      <c r="O116" s="4" t="s">
        <v>521</v>
      </c>
      <c r="P116" s="2" t="s">
        <v>1316</v>
      </c>
      <c r="Q116" s="6" t="s">
        <v>1253</v>
      </c>
      <c r="S116" s="4" t="s">
        <v>508</v>
      </c>
      <c r="U116" s="2" t="s">
        <v>96</v>
      </c>
    </row>
    <row r="117" spans="1:21" ht="13.5" customHeight="1" x14ac:dyDescent="0.2">
      <c r="A117" s="2" t="s">
        <v>120</v>
      </c>
      <c r="C117" s="10" t="str" cm="1">
        <f t="array" ref="C117">_xlfn.IFS(S117 = Modules!$A$2,Modules!$B$2,S117 = Modules!$A$3,Modules!$B$3,S117 = Modules!$A$4,Modules!$B$4,S117 = Modules!$A$5,Modules!$B$5,S117 = Modules!$A$6,Modules!$B$6,S117 = Modules!$A$7,Modules!$B$7,S117 = Modules!$A$8,Modules!$B$8,S117 = Modules!$A$9,Modules!$B$9,S117 = Modules!$A$10,Modules!$B$10,S117 = Modules!$A$11,Modules!$B$11,S117 = Modules!$A$12,Modules!$B$12, S117 = Modules!$A$13,Modules!$B$13)</f>
        <v>health</v>
      </c>
      <c r="D117" s="2" t="s">
        <v>1122</v>
      </c>
      <c r="F117" s="2" t="s">
        <v>1123</v>
      </c>
      <c r="G117" s="2" t="s">
        <v>1124</v>
      </c>
      <c r="J117" s="10" t="str">
        <f t="shared" si="2"/>
        <v>healthWbScore0to36</v>
      </c>
      <c r="K117" s="2" t="s">
        <v>472</v>
      </c>
      <c r="L117" s="2" t="s">
        <v>334</v>
      </c>
      <c r="M117" s="10" t="str">
        <f t="shared" si="3"/>
        <v>Yes</v>
      </c>
      <c r="N117" s="2" t="s">
        <v>122</v>
      </c>
      <c r="O117" s="2" t="s">
        <v>521</v>
      </c>
      <c r="Q117" s="6"/>
      <c r="S117" s="4" t="s">
        <v>531</v>
      </c>
      <c r="U117" s="2" t="s">
        <v>124</v>
      </c>
    </row>
    <row r="118" spans="1:21" ht="144" x14ac:dyDescent="0.2">
      <c r="A118" s="2" t="s">
        <v>121</v>
      </c>
      <c r="C118" s="10" t="str" cm="1">
        <f t="array" ref="C118">_xlfn.IFS(S118 = Modules!$A$2,Modules!$B$2,S118 = Modules!$A$3,Modules!$B$3,S118 = Modules!$A$4,Modules!$B$4,S118 = Modules!$A$5,Modules!$B$5,S118 = Modules!$A$6,Modules!$B$6,S118 = Modules!$A$7,Modules!$B$7,S118 = Modules!$A$8,Modules!$B$8,S118 = Modules!$A$9,Modules!$B$9,S118 = Modules!$A$10,Modules!$B$10,S118 = Modules!$A$11,Modules!$B$11,S118 = Modules!$A$12,Modules!$B$12, S118 = Modules!$A$13,Modules!$B$13)</f>
        <v>health</v>
      </c>
      <c r="D118" s="2" t="s">
        <v>1125</v>
      </c>
      <c r="G118" s="2" t="s">
        <v>1212</v>
      </c>
      <c r="J118" s="10" t="str">
        <f t="shared" si="2"/>
        <v>healthPsyDstrss0to12</v>
      </c>
      <c r="K118" s="2" t="s">
        <v>1459</v>
      </c>
      <c r="L118" s="2" t="s">
        <v>334</v>
      </c>
      <c r="M118" s="10" t="str">
        <f t="shared" si="3"/>
        <v>Yes</v>
      </c>
      <c r="N118" s="2" t="s">
        <v>123</v>
      </c>
      <c r="O118" s="2" t="s">
        <v>521</v>
      </c>
      <c r="S118" s="4" t="s">
        <v>531</v>
      </c>
      <c r="U118" s="2" t="s">
        <v>602</v>
      </c>
    </row>
    <row r="119" spans="1:21" ht="16" x14ac:dyDescent="0.2">
      <c r="A119" s="2" t="s">
        <v>372</v>
      </c>
      <c r="C119" s="10" t="str" cm="1">
        <f t="array" ref="C119">_xlfn.IFS(S119 = Modules!$A$2,Modules!$B$2,S119 = Modules!$A$3,Modules!$B$3,S119 = Modules!$A$4,Modules!$B$4,S119 = Modules!$A$5,Modules!$B$5,S119 = Modules!$A$6,Modules!$B$6,S119 = Modules!$A$7,Modules!$B$7,S119 = Modules!$A$8,Modules!$B$8,S119 = Modules!$A$9,Modules!$B$9,S119 = Modules!$A$10,Modules!$B$10,S119 = Modules!$A$11,Modules!$B$11,S119 = Modules!$A$12,Modules!$B$12, S119 = Modules!$A$13,Modules!$B$13)</f>
        <v>health</v>
      </c>
      <c r="D119" s="2" t="s">
        <v>1122</v>
      </c>
      <c r="F119" s="2" t="s">
        <v>1123</v>
      </c>
      <c r="G119" s="2" t="s">
        <v>1124</v>
      </c>
      <c r="I119" s="2" t="s">
        <v>1063</v>
      </c>
      <c r="J119" s="10" t="str">
        <f t="shared" si="2"/>
        <v>healthWbScore0to36L1</v>
      </c>
      <c r="K119" s="2" t="s">
        <v>373</v>
      </c>
      <c r="L119" s="2" t="s">
        <v>334</v>
      </c>
      <c r="M119" s="10" t="str">
        <f t="shared" si="3"/>
        <v>No</v>
      </c>
      <c r="S119" s="2" t="s">
        <v>531</v>
      </c>
    </row>
    <row r="120" spans="1:21" ht="16" x14ac:dyDescent="0.2">
      <c r="A120" s="10" t="s">
        <v>212</v>
      </c>
      <c r="B120" s="10"/>
      <c r="C120" s="10" t="str" cm="1">
        <f t="array" ref="C120">_xlfn.IFS(S120 = Modules!$A$2,Modules!$B$2,S120 = Modules!$A$3,Modules!$B$3,S120 = Modules!$A$4,Modules!$B$4,S120 = Modules!$A$5,Modules!$B$5,S120 = Modules!$A$6,Modules!$B$6,S120 = Modules!$A$7,Modules!$B$7,S120 = Modules!$A$8,Modules!$B$8,S120 = Modules!$A$9,Modules!$B$9,S120 = Modules!$A$10,Modules!$B$10,S120 = Modules!$A$11,Modules!$B$11,S120 = Modules!$A$12,Modules!$B$12, S120 = Modules!$A$13,Modules!$B$13)</f>
        <v>health</v>
      </c>
      <c r="D120" s="2" t="s">
        <v>1122</v>
      </c>
      <c r="F120" s="2" t="s">
        <v>1123</v>
      </c>
      <c r="G120" s="2" t="s">
        <v>1124</v>
      </c>
      <c r="H120" s="10" t="s">
        <v>1057</v>
      </c>
      <c r="I120" s="10"/>
      <c r="J120" s="10" t="str">
        <f t="shared" si="2"/>
        <v>healthWbScore0to36Avg</v>
      </c>
      <c r="K120" s="6" t="s">
        <v>617</v>
      </c>
      <c r="L120" s="10" t="s">
        <v>1034</v>
      </c>
      <c r="M120" s="10" t="str">
        <f t="shared" si="3"/>
        <v>No</v>
      </c>
      <c r="R120" s="4" t="s">
        <v>605</v>
      </c>
      <c r="S120" s="2" t="s">
        <v>531</v>
      </c>
    </row>
    <row r="121" spans="1:21" ht="16" x14ac:dyDescent="0.2">
      <c r="A121" s="10" t="s">
        <v>213</v>
      </c>
      <c r="B121" s="10"/>
      <c r="C121" s="10" t="str" cm="1">
        <f t="array" ref="C121">_xlfn.IFS(S121 = Modules!$A$2,Modules!$B$2,S121 = Modules!$A$3,Modules!$B$3,S121 = Modules!$A$4,Modules!$B$4,S121 = Modules!$A$5,Modules!$B$5,S121 = Modules!$A$6,Modules!$B$6,S121 = Modules!$A$7,Modules!$B$7,S121 = Modules!$A$8,Modules!$B$8,S121 = Modules!$A$9,Modules!$B$9,S121 = Modules!$A$10,Modules!$B$10,S121 = Modules!$A$11,Modules!$B$11,S121 = Modules!$A$12,Modules!$B$12, S121 = Modules!$A$13,Modules!$B$13)</f>
        <v>health</v>
      </c>
      <c r="D121" s="2" t="s">
        <v>1122</v>
      </c>
      <c r="F121" s="2" t="s">
        <v>1123</v>
      </c>
      <c r="G121" s="2" t="s">
        <v>1124</v>
      </c>
      <c r="H121" s="10" t="s">
        <v>1105</v>
      </c>
      <c r="I121" s="10"/>
      <c r="J121" s="10" t="str">
        <f t="shared" si="2"/>
        <v>healthWbScore0to36P50</v>
      </c>
      <c r="K121" s="6" t="s">
        <v>618</v>
      </c>
      <c r="L121" s="10" t="s">
        <v>1034</v>
      </c>
      <c r="M121" s="10" t="str">
        <f t="shared" si="3"/>
        <v>No</v>
      </c>
      <c r="R121" s="4" t="s">
        <v>605</v>
      </c>
      <c r="S121" s="2" t="s">
        <v>531</v>
      </c>
    </row>
    <row r="122" spans="1:21" ht="13.5" customHeight="1" x14ac:dyDescent="0.2">
      <c r="A122" s="10" t="s">
        <v>214</v>
      </c>
      <c r="B122" s="10"/>
      <c r="C122" s="10" t="str" cm="1">
        <f t="array" ref="C122">_xlfn.IFS(S122 = Modules!$A$2,Modules!$B$2,S122 = Modules!$A$3,Modules!$B$3,S122 = Modules!$A$4,Modules!$B$4,S122 = Modules!$A$5,Modules!$B$5,S122 = Modules!$A$6,Modules!$B$6,S122 = Modules!$A$7,Modules!$B$7,S122 = Modules!$A$8,Modules!$B$8,S122 = Modules!$A$9,Modules!$B$9,S122 = Modules!$A$10,Modules!$B$10,S122 = Modules!$A$11,Modules!$B$11,S122 = Modules!$A$12,Modules!$B$12, S122 = Modules!$A$13,Modules!$B$13)</f>
        <v>health</v>
      </c>
      <c r="D122" s="2" t="s">
        <v>1122</v>
      </c>
      <c r="F122" s="2" t="s">
        <v>1123</v>
      </c>
      <c r="G122" s="2" t="s">
        <v>1124</v>
      </c>
      <c r="H122" s="10" t="s">
        <v>1106</v>
      </c>
      <c r="I122" s="10"/>
      <c r="J122" s="10" t="str">
        <f t="shared" si="2"/>
        <v>healthWbScore0to36P10</v>
      </c>
      <c r="K122" s="6" t="s">
        <v>619</v>
      </c>
      <c r="L122" s="10" t="s">
        <v>1034</v>
      </c>
      <c r="M122" s="10" t="str">
        <f t="shared" si="3"/>
        <v>No</v>
      </c>
      <c r="R122" s="4" t="s">
        <v>605</v>
      </c>
      <c r="S122" s="2" t="s">
        <v>531</v>
      </c>
    </row>
    <row r="123" spans="1:21" ht="13.5" customHeight="1" x14ac:dyDescent="0.2">
      <c r="A123" s="10" t="s">
        <v>215</v>
      </c>
      <c r="B123" s="10"/>
      <c r="C123" s="10" t="str" cm="1">
        <f t="array" ref="C123">_xlfn.IFS(S123 = Modules!$A$2,Modules!$B$2,S123 = Modules!$A$3,Modules!$B$3,S123 = Modules!$A$4,Modules!$B$4,S123 = Modules!$A$5,Modules!$B$5,S123 = Modules!$A$6,Modules!$B$6,S123 = Modules!$A$7,Modules!$B$7,S123 = Modules!$A$8,Modules!$B$8,S123 = Modules!$A$9,Modules!$B$9,S123 = Modules!$A$10,Modules!$B$10,S123 = Modules!$A$11,Modules!$B$11,S123 = Modules!$A$12,Modules!$B$12, S123 = Modules!$A$13,Modules!$B$13)</f>
        <v>health</v>
      </c>
      <c r="D123" s="2" t="s">
        <v>1122</v>
      </c>
      <c r="F123" s="2" t="s">
        <v>1123</v>
      </c>
      <c r="G123" s="2" t="s">
        <v>1124</v>
      </c>
      <c r="H123" s="10" t="s">
        <v>1107</v>
      </c>
      <c r="I123" s="10"/>
      <c r="J123" s="10" t="str">
        <f t="shared" si="2"/>
        <v>healthWbScore0to36P25</v>
      </c>
      <c r="K123" s="6" t="s">
        <v>620</v>
      </c>
      <c r="L123" s="10" t="s">
        <v>1034</v>
      </c>
      <c r="M123" s="10" t="str">
        <f t="shared" si="3"/>
        <v>No</v>
      </c>
      <c r="R123" s="4" t="s">
        <v>605</v>
      </c>
      <c r="S123" s="2" t="s">
        <v>531</v>
      </c>
    </row>
    <row r="124" spans="1:21" ht="13.5" customHeight="1" x14ac:dyDescent="0.2">
      <c r="A124" s="10" t="s">
        <v>216</v>
      </c>
      <c r="B124" s="10"/>
      <c r="C124" s="10" t="str" cm="1">
        <f t="array" ref="C124">_xlfn.IFS(S124 = Modules!$A$2,Modules!$B$2,S124 = Modules!$A$3,Modules!$B$3,S124 = Modules!$A$4,Modules!$B$4,S124 = Modules!$A$5,Modules!$B$5,S124 = Modules!$A$6,Modules!$B$6,S124 = Modules!$A$7,Modules!$B$7,S124 = Modules!$A$8,Modules!$B$8,S124 = Modules!$A$9,Modules!$B$9,S124 = Modules!$A$10,Modules!$B$10,S124 = Modules!$A$11,Modules!$B$11,S124 = Modules!$A$12,Modules!$B$12, S124 = Modules!$A$13,Modules!$B$13)</f>
        <v>health</v>
      </c>
      <c r="D124" s="2" t="s">
        <v>1122</v>
      </c>
      <c r="F124" s="2" t="s">
        <v>1123</v>
      </c>
      <c r="G124" s="2" t="s">
        <v>1124</v>
      </c>
      <c r="H124" s="10" t="s">
        <v>1108</v>
      </c>
      <c r="I124" s="10"/>
      <c r="J124" s="10" t="str">
        <f t="shared" si="2"/>
        <v>healthWbScore0to36P75</v>
      </c>
      <c r="K124" s="6" t="s">
        <v>621</v>
      </c>
      <c r="L124" s="10" t="s">
        <v>1034</v>
      </c>
      <c r="M124" s="10" t="str">
        <f t="shared" si="3"/>
        <v>No</v>
      </c>
      <c r="R124" s="4" t="s">
        <v>605</v>
      </c>
      <c r="S124" s="2" t="s">
        <v>531</v>
      </c>
    </row>
    <row r="125" spans="1:21" ht="13.5" customHeight="1" x14ac:dyDescent="0.2">
      <c r="A125" s="10" t="s">
        <v>217</v>
      </c>
      <c r="B125" s="10"/>
      <c r="C125" s="10" t="str" cm="1">
        <f t="array" ref="C125">_xlfn.IFS(S125 = Modules!$A$2,Modules!$B$2,S125 = Modules!$A$3,Modules!$B$3,S125 = Modules!$A$4,Modules!$B$4,S125 = Modules!$A$5,Modules!$B$5,S125 = Modules!$A$6,Modules!$B$6,S125 = Modules!$A$7,Modules!$B$7,S125 = Modules!$A$8,Modules!$B$8,S125 = Modules!$A$9,Modules!$B$9,S125 = Modules!$A$10,Modules!$B$10,S125 = Modules!$A$11,Modules!$B$11,S125 = Modules!$A$12,Modules!$B$12, S125 = Modules!$A$13,Modules!$B$13)</f>
        <v>health</v>
      </c>
      <c r="D125" s="2" t="s">
        <v>1122</v>
      </c>
      <c r="F125" s="2" t="s">
        <v>1123</v>
      </c>
      <c r="G125" s="2" t="s">
        <v>1124</v>
      </c>
      <c r="H125" s="10" t="s">
        <v>1109</v>
      </c>
      <c r="I125" s="10"/>
      <c r="J125" s="10" t="str">
        <f t="shared" si="2"/>
        <v>healthWbScore0to36P90</v>
      </c>
      <c r="K125" s="6" t="s">
        <v>622</v>
      </c>
      <c r="L125" s="10" t="s">
        <v>1034</v>
      </c>
      <c r="M125" s="10" t="str">
        <f t="shared" si="3"/>
        <v>No</v>
      </c>
      <c r="R125" s="4" t="s">
        <v>605</v>
      </c>
      <c r="S125" s="2" t="s">
        <v>531</v>
      </c>
    </row>
    <row r="126" spans="1:21" ht="13.5" customHeight="1" x14ac:dyDescent="0.2">
      <c r="A126" s="10" t="s">
        <v>240</v>
      </c>
      <c r="B126" s="10"/>
      <c r="C126" s="10" t="str" cm="1">
        <f t="array" ref="C126">_xlfn.IFS(S126 = Modules!$A$2,Modules!$B$2,S126 = Modules!$A$3,Modules!$B$3,S126 = Modules!$A$4,Modules!$B$4,S126 = Modules!$A$5,Modules!$B$5,S126 = Modules!$A$6,Modules!$B$6,S126 = Modules!$A$7,Modules!$B$7,S126 = Modules!$A$8,Modules!$B$8,S126 = Modules!$A$9,Modules!$B$9,S126 = Modules!$A$10,Modules!$B$10,S126 = Modules!$A$11,Modules!$B$11,S126 = Modules!$A$12,Modules!$B$12, S126 = Modules!$A$13,Modules!$B$13)</f>
        <v>health</v>
      </c>
      <c r="D126" s="2" t="s">
        <v>1125</v>
      </c>
      <c r="I126" s="10"/>
      <c r="J126" s="10" t="str">
        <f t="shared" si="2"/>
        <v>healthPsyDstrss</v>
      </c>
      <c r="K126" s="2" t="s">
        <v>767</v>
      </c>
      <c r="L126" s="10" t="s">
        <v>334</v>
      </c>
      <c r="M126" s="10" t="str">
        <f t="shared" si="3"/>
        <v>No</v>
      </c>
      <c r="S126" s="2" t="s">
        <v>531</v>
      </c>
    </row>
    <row r="127" spans="1:21" ht="16" x14ac:dyDescent="0.2">
      <c r="A127" s="10" t="s">
        <v>370</v>
      </c>
      <c r="B127" s="10"/>
      <c r="C127" s="10" t="str" cm="1">
        <f t="array" ref="C127">_xlfn.IFS(S127 = Modules!$A$2,Modules!$B$2,S127 = Modules!$A$3,Modules!$B$3,S127 = Modules!$A$4,Modules!$B$4,S127 = Modules!$A$5,Modules!$B$5,S127 = Modules!$A$6,Modules!$B$6,S127 = Modules!$A$7,Modules!$B$7,S127 = Modules!$A$8,Modules!$B$8,S127 = Modules!$A$9,Modules!$B$9,S127 = Modules!$A$10,Modules!$B$10,S127 = Modules!$A$11,Modules!$B$11,S127 = Modules!$A$12,Modules!$B$12, S127 = Modules!$A$13,Modules!$B$13)</f>
        <v>health</v>
      </c>
      <c r="D127" s="2" t="s">
        <v>1125</v>
      </c>
      <c r="I127" s="10" t="s">
        <v>1063</v>
      </c>
      <c r="J127" s="10" t="str">
        <f t="shared" si="2"/>
        <v>healthPsyDstrssL1</v>
      </c>
      <c r="K127" s="2" t="s">
        <v>768</v>
      </c>
      <c r="L127" s="2" t="s">
        <v>334</v>
      </c>
      <c r="M127" s="10" t="str">
        <f t="shared" si="3"/>
        <v>No</v>
      </c>
      <c r="S127" s="2" t="s">
        <v>531</v>
      </c>
    </row>
    <row r="128" spans="1:21" ht="32" x14ac:dyDescent="0.2">
      <c r="A128" s="2" t="s">
        <v>91</v>
      </c>
      <c r="C128" s="10" t="str" cm="1">
        <f t="array" ref="C128">_xlfn.IFS(S128 = Modules!$A$2,Modules!$B$2,S128 = Modules!$A$3,Modules!$B$3,S128 = Modules!$A$4,Modules!$B$4,S128 = Modules!$A$5,Modules!$B$5,S128 = Modules!$A$6,Modules!$B$6,S128 = Modules!$A$7,Modules!$B$7,S128 = Modules!$A$8,Modules!$B$8,S128 = Modules!$A$9,Modules!$B$9,S128 = Modules!$A$10,Modules!$B$10,S128 = Modules!$A$11,Modules!$B$11,S128 = Modules!$A$12,Modules!$B$12, S128 = Modules!$A$13,Modules!$B$13)</f>
        <v>wgt</v>
      </c>
      <c r="F128" s="2" t="s">
        <v>1126</v>
      </c>
      <c r="G128" s="2" t="s">
        <v>1127</v>
      </c>
      <c r="J128" s="10" t="str">
        <f t="shared" si="2"/>
        <v>wgtLongMainSurvey</v>
      </c>
      <c r="K128" s="2" t="s">
        <v>463</v>
      </c>
      <c r="L128" s="2" t="s">
        <v>170</v>
      </c>
      <c r="M128" s="10" t="str">
        <f t="shared" si="3"/>
        <v>Yes</v>
      </c>
      <c r="N128" s="4" t="s">
        <v>510</v>
      </c>
      <c r="O128" s="4" t="s">
        <v>521</v>
      </c>
      <c r="P128" s="4" t="s">
        <v>1317</v>
      </c>
      <c r="Q128" s="6" t="s">
        <v>1253</v>
      </c>
      <c r="S128" s="4" t="s">
        <v>508</v>
      </c>
      <c r="U128" s="2" t="s">
        <v>94</v>
      </c>
    </row>
    <row r="129" spans="1:21" ht="48" x14ac:dyDescent="0.2">
      <c r="A129" s="2" t="s">
        <v>90</v>
      </c>
      <c r="C129" s="10" t="str" cm="1">
        <f t="array" ref="C129">_xlfn.IFS(S129 = Modules!$A$2,Modules!$B$2,S129 = Modules!$A$3,Modules!$B$3,S129 = Modules!$A$4,Modules!$B$4,S129 = Modules!$A$5,Modules!$B$5,S129 = Modules!$A$6,Modules!$B$6,S129 = Modules!$A$7,Modules!$B$7,S129 = Modules!$A$8,Modules!$B$8,S129 = Modules!$A$9,Modules!$B$9,S129 = Modules!$A$10,Modules!$B$10,S129 = Modules!$A$11,Modules!$B$11,S129 = Modules!$A$12,Modules!$B$12, S129 = Modules!$A$13,Modules!$B$13)</f>
        <v>wgt</v>
      </c>
      <c r="F129" s="2" t="s">
        <v>1121</v>
      </c>
      <c r="G129" s="2" t="s">
        <v>1127</v>
      </c>
      <c r="J129" s="10" t="str">
        <f t="shared" ref="J129:J192" si="4">CONCATENATE(B129, C129,D129,E129,F129,G129,H129,I129)</f>
        <v>wgtCrossMainSurvey</v>
      </c>
      <c r="K129" s="2" t="s">
        <v>462</v>
      </c>
      <c r="L129" s="2" t="s">
        <v>170</v>
      </c>
      <c r="M129" s="10" t="str">
        <f t="shared" ref="M129:M192" si="5">IF(OR(O129&lt;&gt;"", Q129&lt;&gt;""),"Yes","No")</f>
        <v>Yes</v>
      </c>
      <c r="N129" s="2" t="s">
        <v>509</v>
      </c>
      <c r="O129" s="4" t="s">
        <v>521</v>
      </c>
      <c r="P129" s="4" t="s">
        <v>1314</v>
      </c>
      <c r="Q129" s="6" t="s">
        <v>1253</v>
      </c>
      <c r="S129" s="4" t="s">
        <v>508</v>
      </c>
      <c r="U129" s="2" t="s">
        <v>95</v>
      </c>
    </row>
    <row r="130" spans="1:21" ht="13.5" customHeight="1" x14ac:dyDescent="0.2">
      <c r="A130" s="2" t="s">
        <v>92</v>
      </c>
      <c r="C130" s="10" t="str" cm="1">
        <f t="array" ref="C130">_xlfn.IFS(S130 = Modules!$A$2,Modules!$B$2,S130 = Modules!$A$3,Modules!$B$3,S130 = Modules!$A$4,Modules!$B$4,S130 = Modules!$A$5,Modules!$B$5,S130 = Modules!$A$6,Modules!$B$6,S130 = Modules!$A$7,Modules!$B$7,S130 = Modules!$A$8,Modules!$B$8,S130 = Modules!$A$9,Modules!$B$9,S130 = Modules!$A$10,Modules!$B$10,S130 = Modules!$A$11,Modules!$B$11,S130 = Modules!$A$12,Modules!$B$12, S130 = Modules!$A$13,Modules!$B$13)</f>
        <v>wgt</v>
      </c>
      <c r="F130" s="2" t="s">
        <v>1126</v>
      </c>
      <c r="G130" s="4" t="s">
        <v>1128</v>
      </c>
      <c r="J130" s="10" t="str">
        <f t="shared" si="4"/>
        <v>wgtLongSelfCompletion</v>
      </c>
      <c r="K130" s="2" t="s">
        <v>464</v>
      </c>
      <c r="L130" s="2" t="s">
        <v>170</v>
      </c>
      <c r="M130" s="10" t="str">
        <f t="shared" si="5"/>
        <v>Yes</v>
      </c>
      <c r="N130" s="2" t="s">
        <v>511</v>
      </c>
      <c r="O130" s="4" t="s">
        <v>521</v>
      </c>
      <c r="P130" s="4"/>
      <c r="Q130" s="4"/>
      <c r="S130" s="4" t="s">
        <v>508</v>
      </c>
      <c r="U130" s="2" t="s">
        <v>93</v>
      </c>
    </row>
    <row r="131" spans="1:21" ht="16" x14ac:dyDescent="0.2">
      <c r="A131" s="2" t="s">
        <v>430</v>
      </c>
      <c r="C131" s="10" t="str" cm="1">
        <f t="array" ref="C131">_xlfn.IFS(S131 = Modules!$A$2,Modules!$B$2,S131 = Modules!$A$3,Modules!$B$3,S131 = Modules!$A$4,Modules!$B$4,S131 = Modules!$A$5,Modules!$B$5,S131 = Modules!$A$6,Modules!$B$6,S131 = Modules!$A$7,Modules!$B$7,S131 = Modules!$A$8,Modules!$B$8,S131 = Modules!$A$9,Modules!$B$9,S131 = Modules!$A$10,Modules!$B$10,S131 = Modules!$A$11,Modules!$B$11,S131 = Modules!$A$12,Modules!$B$12, S131 = Modules!$A$13,Modules!$B$13)</f>
        <v>x</v>
      </c>
      <c r="D131" s="2" t="s">
        <v>1129</v>
      </c>
      <c r="I131" s="2" t="s">
        <v>706</v>
      </c>
      <c r="J131" s="10" t="str">
        <f t="shared" si="4"/>
        <v>xDiscretionaryYear</v>
      </c>
      <c r="K131" s="2" t="s">
        <v>899</v>
      </c>
      <c r="L131" s="2" t="s">
        <v>451</v>
      </c>
      <c r="M131" s="10" t="str">
        <f t="shared" si="5"/>
        <v>No</v>
      </c>
      <c r="S131" s="2" t="s">
        <v>595</v>
      </c>
    </row>
    <row r="132" spans="1:21" ht="13.5" customHeight="1" x14ac:dyDescent="0.2">
      <c r="A132" s="10" t="s">
        <v>1460</v>
      </c>
      <c r="B132" s="10"/>
      <c r="C132" s="10" t="str" cm="1">
        <f t="array" ref="C132">_xlfn.IFS(S132 = Modules!$A$2,Modules!$B$2,S132 = Modules!$A$3,Modules!$B$3,S132 = Modules!$A$4,Modules!$B$4,S132 = Modules!$A$5,Modules!$B$5,S132 = Modules!$A$6,Modules!$B$6,S132 = Modules!$A$7,Modules!$B$7,S132 = Modules!$A$8,Modules!$B$8,S132 = Modules!$A$9,Modules!$B$9,S132 = Modules!$A$10,Modules!$B$10,S132 = Modules!$A$11,Modules!$B$11,S132 = Modules!$A$12,Modules!$B$12, S132 = Modules!$A$13,Modules!$B$13)</f>
        <v>y</v>
      </c>
      <c r="D132" s="2" t="s">
        <v>1049</v>
      </c>
      <c r="E132" s="10"/>
      <c r="F132" s="10"/>
      <c r="G132" s="10"/>
      <c r="H132" s="10"/>
      <c r="I132" s="10" t="s">
        <v>1069</v>
      </c>
      <c r="J132" s="10" t="str">
        <f t="shared" si="4"/>
        <v>yDispMonth</v>
      </c>
      <c r="K132" s="2" t="s">
        <v>715</v>
      </c>
      <c r="L132" s="2" t="s">
        <v>170</v>
      </c>
      <c r="M132" s="10" t="str">
        <f t="shared" si="5"/>
        <v>Yes</v>
      </c>
      <c r="N132" s="2" t="s">
        <v>1443</v>
      </c>
      <c r="O132" s="2" t="s">
        <v>521</v>
      </c>
      <c r="S132" s="2" t="s">
        <v>480</v>
      </c>
    </row>
    <row r="133" spans="1:21" ht="13.5" customHeight="1" x14ac:dyDescent="0.2">
      <c r="A133" s="10" t="s">
        <v>822</v>
      </c>
      <c r="B133" s="10"/>
      <c r="C133" s="10" t="str" cm="1">
        <f t="array" ref="C133">_xlfn.IFS(S133 = Modules!$A$2,Modules!$B$2,S133 = Modules!$A$3,Modules!$B$3,S133 = Modules!$A$4,Modules!$B$4,S133 = Modules!$A$5,Modules!$B$5,S133 = Modules!$A$6,Modules!$B$6,S133 = Modules!$A$7,Modules!$B$7,S133 = Modules!$A$8,Modules!$B$8,S133 = Modules!$A$9,Modules!$B$9,S133 = Modules!$A$10,Modules!$B$10,S133 = Modules!$A$11,Modules!$B$11,S133 = Modules!$A$12,Modules!$B$12, S133 = Modules!$A$13,Modules!$B$13)</f>
        <v>stat</v>
      </c>
      <c r="D133" s="2" t="s">
        <v>1049</v>
      </c>
      <c r="E133" s="10"/>
      <c r="F133" s="2" t="s">
        <v>1130</v>
      </c>
      <c r="G133" s="2" t="s">
        <v>1050</v>
      </c>
      <c r="H133" s="2" t="s">
        <v>1057</v>
      </c>
      <c r="I133" s="10"/>
      <c r="J133" s="10" t="str">
        <f t="shared" si="4"/>
        <v>statDispGrossOfLosses18to29Avg</v>
      </c>
      <c r="K133" s="6" t="s">
        <v>824</v>
      </c>
      <c r="L133" s="10" t="s">
        <v>1032</v>
      </c>
      <c r="M133" s="10" t="str">
        <f t="shared" si="5"/>
        <v>No</v>
      </c>
      <c r="S133" s="2" t="s">
        <v>973</v>
      </c>
      <c r="U133" s="2" t="s">
        <v>794</v>
      </c>
    </row>
    <row r="134" spans="1:21" ht="13.5" customHeight="1" x14ac:dyDescent="0.2">
      <c r="A134" s="10" t="s">
        <v>823</v>
      </c>
      <c r="B134" s="10"/>
      <c r="C134" s="10" t="str" cm="1">
        <f t="array" ref="C134">_xlfn.IFS(S134 = Modules!$A$2,Modules!$B$2,S134 = Modules!$A$3,Modules!$B$3,S134 = Modules!$A$4,Modules!$B$4,S134 = Modules!$A$5,Modules!$B$5,S134 = Modules!$A$6,Modules!$B$6,S134 = Modules!$A$7,Modules!$B$7,S134 = Modules!$A$8,Modules!$B$8,S134 = Modules!$A$9,Modules!$B$9,S134 = Modules!$A$10,Modules!$B$10,S134 = Modules!$A$11,Modules!$B$11,S134 = Modules!$A$12,Modules!$B$12, S134 = Modules!$A$13,Modules!$B$13)</f>
        <v>stat</v>
      </c>
      <c r="D134" s="2" t="s">
        <v>1049</v>
      </c>
      <c r="E134" s="10"/>
      <c r="F134" s="2" t="s">
        <v>1130</v>
      </c>
      <c r="G134" s="2" t="s">
        <v>1051</v>
      </c>
      <c r="H134" s="2" t="s">
        <v>1057</v>
      </c>
      <c r="I134" s="10"/>
      <c r="J134" s="10" t="str">
        <f t="shared" si="4"/>
        <v>statDispGrossOfLosses30to54Avg</v>
      </c>
      <c r="K134" s="6" t="s">
        <v>825</v>
      </c>
      <c r="L134" s="10" t="s">
        <v>1032</v>
      </c>
      <c r="M134" s="10" t="str">
        <f t="shared" si="5"/>
        <v>No</v>
      </c>
      <c r="S134" s="2" t="s">
        <v>973</v>
      </c>
      <c r="U134" s="2" t="s">
        <v>794</v>
      </c>
    </row>
    <row r="135" spans="1:21" ht="13.5" customHeight="1" x14ac:dyDescent="0.2">
      <c r="A135" s="10" t="s">
        <v>292</v>
      </c>
      <c r="B135" s="10"/>
      <c r="C135" s="10" t="str" cm="1">
        <f t="array" ref="C135">_xlfn.IFS(S135 = Modules!$A$2,Modules!$B$2,S135 = Modules!$A$3,Modules!$B$3,S135 = Modules!$A$4,Modules!$B$4,S135 = Modules!$A$5,Modules!$B$5,S135 = Modules!$A$6,Modules!$B$6,S135 = Modules!$A$7,Modules!$B$7,S135 = Modules!$A$8,Modules!$B$8,S135 = Modules!$A$9,Modules!$B$9,S135 = Modules!$A$10,Modules!$B$10,S135 = Modules!$A$11,Modules!$B$11,S135 = Modules!$A$12,Modules!$B$12, S135 = Modules!$A$13,Modules!$B$13)</f>
        <v>stat</v>
      </c>
      <c r="D135" s="2" t="s">
        <v>1049</v>
      </c>
      <c r="E135" s="10"/>
      <c r="F135" s="2" t="s">
        <v>1130</v>
      </c>
      <c r="G135" s="2" t="s">
        <v>1131</v>
      </c>
      <c r="H135" s="2" t="s">
        <v>1057</v>
      </c>
      <c r="I135" s="10"/>
      <c r="J135" s="10" t="str">
        <f t="shared" si="4"/>
        <v>statDispGrossOfLosses55to75Avg</v>
      </c>
      <c r="K135" s="6" t="s">
        <v>826</v>
      </c>
      <c r="L135" s="10" t="s">
        <v>1032</v>
      </c>
      <c r="M135" s="10" t="str">
        <f t="shared" si="5"/>
        <v>No</v>
      </c>
      <c r="S135" s="2" t="s">
        <v>973</v>
      </c>
      <c r="U135" s="2" t="s">
        <v>794</v>
      </c>
    </row>
    <row r="136" spans="1:21" ht="13.5" customHeight="1" x14ac:dyDescent="0.2">
      <c r="A136" s="10" t="s">
        <v>179</v>
      </c>
      <c r="B136" s="10"/>
      <c r="C136" s="10" t="str" cm="1">
        <f t="array" ref="C136">_xlfn.IFS(S136 = Modules!$A$2,Modules!$B$2,S136 = Modules!$A$3,Modules!$B$3,S136 = Modules!$A$4,Modules!$B$4,S136 = Modules!$A$5,Modules!$B$5,S136 = Modules!$A$6,Modules!$B$6,S136 = Modules!$A$7,Modules!$B$7,S136 = Modules!$A$8,Modules!$B$8,S136 = Modules!$A$9,Modules!$B$9,S136 = Modules!$A$10,Modules!$B$10,S136 = Modules!$A$11,Modules!$B$11,S136 = Modules!$A$12,Modules!$B$12, S136 = Modules!$A$13,Modules!$B$13)</f>
        <v>y</v>
      </c>
      <c r="D136" s="2" t="s">
        <v>1049</v>
      </c>
      <c r="E136" s="10"/>
      <c r="F136" s="10"/>
      <c r="G136" s="10"/>
      <c r="H136" s="10"/>
      <c r="I136" s="10" t="s">
        <v>1069</v>
      </c>
      <c r="J136" s="10" t="str">
        <f t="shared" si="4"/>
        <v>yDispMonth</v>
      </c>
      <c r="K136" s="2" t="s">
        <v>715</v>
      </c>
      <c r="L136" s="2" t="s">
        <v>451</v>
      </c>
      <c r="M136" s="10" t="str">
        <f t="shared" si="5"/>
        <v>No</v>
      </c>
      <c r="S136" s="2" t="s">
        <v>480</v>
      </c>
    </row>
    <row r="137" spans="1:21" ht="13.5" customHeight="1" x14ac:dyDescent="0.2">
      <c r="A137" s="2" t="s">
        <v>86</v>
      </c>
      <c r="C137" s="10" t="str" cm="1">
        <f t="array" ref="C137">_xlfn.IFS(S137 = Modules!$A$2,Modules!$B$2,S137 = Modules!$A$3,Modules!$B$3,S137 = Modules!$A$4,Modules!$B$4,S137 = Modules!$A$5,Modules!$B$5,S137 = Modules!$A$6,Modules!$B$6,S137 = Modules!$A$7,Modules!$B$7,S137 = Modules!$A$8,Modules!$B$8,S137 = Modules!$A$9,Modules!$B$9,S137 = Modules!$A$10,Modules!$B$10,S137 = Modules!$A$11,Modules!$B$11,S137 = Modules!$A$12,Modules!$B$12, S137 = Modules!$A$13,Modules!$B$13)</f>
        <v>dem</v>
      </c>
      <c r="D137" s="2" t="s">
        <v>1090</v>
      </c>
      <c r="E137" s="2" t="s">
        <v>1132</v>
      </c>
      <c r="G137" s="2" t="s">
        <v>553</v>
      </c>
      <c r="H137" s="2" t="s">
        <v>981</v>
      </c>
      <c r="J137" s="10" t="str">
        <f t="shared" si="4"/>
        <v>demExitParentHomeFlag</v>
      </c>
      <c r="K137" s="2" t="s">
        <v>927</v>
      </c>
      <c r="L137" s="2" t="s">
        <v>170</v>
      </c>
      <c r="M137" s="10" t="str">
        <f t="shared" si="5"/>
        <v>Yes</v>
      </c>
      <c r="N137" s="2" t="s">
        <v>87</v>
      </c>
      <c r="O137" s="2" t="s">
        <v>521</v>
      </c>
      <c r="P137" s="2" t="s">
        <v>1297</v>
      </c>
      <c r="Q137" s="2" t="s">
        <v>1253</v>
      </c>
      <c r="S137" s="6" t="s">
        <v>975</v>
      </c>
      <c r="U137" s="2" t="s">
        <v>88</v>
      </c>
    </row>
    <row r="138" spans="1:21" ht="13.5" customHeight="1" x14ac:dyDescent="0.2">
      <c r="A138" s="2" t="s">
        <v>56</v>
      </c>
      <c r="C138" s="10" t="str" cm="1">
        <f t="array" ref="C138">_xlfn.IFS(S138 = Modules!$A$2,Modules!$B$2,S138 = Modules!$A$3,Modules!$B$3,S138 = Modules!$A$4,Modules!$B$4,S138 = Modules!$A$5,Modules!$B$5,S138 = Modules!$A$6,Modules!$B$6,S138 = Modules!$A$7,Modules!$B$7,S138 = Modules!$A$8,Modules!$B$8,S138 = Modules!$A$9,Modules!$B$9,S138 = Modules!$A$10,Modules!$B$10,S138 = Modules!$A$11,Modules!$B$11,S138 = Modules!$A$12,Modules!$B$12, S138 = Modules!$A$13,Modules!$B$13)</f>
        <v>health</v>
      </c>
      <c r="D138" s="2" t="s">
        <v>1133</v>
      </c>
      <c r="G138" s="2" t="s">
        <v>1134</v>
      </c>
      <c r="H138" s="2" t="s">
        <v>981</v>
      </c>
      <c r="J138" s="10" t="str">
        <f t="shared" si="4"/>
        <v>healthDsblLongtermFlag</v>
      </c>
      <c r="K138" s="2" t="s">
        <v>924</v>
      </c>
      <c r="L138" s="2" t="s">
        <v>334</v>
      </c>
      <c r="M138" s="10" t="str">
        <f t="shared" si="5"/>
        <v>Yes</v>
      </c>
      <c r="N138" s="2" t="s">
        <v>24</v>
      </c>
      <c r="O138" s="2" t="s">
        <v>521</v>
      </c>
      <c r="P138" s="2" t="s">
        <v>1273</v>
      </c>
      <c r="Q138" s="6" t="s">
        <v>1253</v>
      </c>
      <c r="S138" s="6" t="s">
        <v>531</v>
      </c>
      <c r="U138" s="2" t="s">
        <v>49</v>
      </c>
    </row>
    <row r="139" spans="1:21" ht="13.5" customHeight="1" x14ac:dyDescent="0.2">
      <c r="A139" s="2" t="s">
        <v>339</v>
      </c>
      <c r="C139" s="10" t="str" cm="1">
        <f t="array" ref="C139">_xlfn.IFS(S139 = Modules!$A$2,Modules!$B$2,S139 = Modules!$A$3,Modules!$B$3,S139 = Modules!$A$4,Modules!$B$4,S139 = Modules!$A$5,Modules!$B$5,S139 = Modules!$A$6,Modules!$B$6,S139 = Modules!$A$7,Modules!$B$7,S139 = Modules!$A$8,Modules!$B$8,S139 = Modules!$A$9,Modules!$B$9,S139 = Modules!$A$10,Modules!$B$10,S139 = Modules!$A$11,Modules!$B$11,S139 = Modules!$A$12,Modules!$B$12, S139 = Modules!$A$13,Modules!$B$13)</f>
        <v>health</v>
      </c>
      <c r="D139" s="2" t="s">
        <v>1133</v>
      </c>
      <c r="G139" s="2" t="s">
        <v>1134</v>
      </c>
      <c r="H139" s="2" t="s">
        <v>981</v>
      </c>
      <c r="I139" s="2" t="s">
        <v>1063</v>
      </c>
      <c r="J139" s="10" t="str">
        <f t="shared" si="4"/>
        <v>healthDsblLongtermFlagL1</v>
      </c>
      <c r="K139" s="2" t="s">
        <v>491</v>
      </c>
      <c r="L139" s="2" t="s">
        <v>334</v>
      </c>
      <c r="M139" s="10" t="str">
        <f t="shared" si="5"/>
        <v>No</v>
      </c>
      <c r="S139" s="2" t="s">
        <v>531</v>
      </c>
    </row>
    <row r="140" spans="1:21" ht="13.5" customHeight="1" x14ac:dyDescent="0.2">
      <c r="A140" s="2" t="s">
        <v>1281</v>
      </c>
      <c r="C140" s="2" t="str" cm="1">
        <f t="array" ref="C140">_xlfn.IFS(S140 = Modules!$A$2,Modules!$B$2,S140 = Modules!$A$3,Modules!$B$3,S140 = Modules!$A$4,Modules!$B$4,S140 = Modules!$A$5,Modules!$B$5,S140 = Modules!$A$6,Modules!$B$6,S140 = Modules!$A$7,Modules!$B$7,S140 = Modules!$A$8,Modules!$B$8,S140 = Modules!$A$9,Modules!$B$9,S140 = Modules!$A$10,Modules!$B$10,S140 = Modules!$A$11,Modules!$B$11,S140 = Modules!$A$12,Modules!$B$12, S140 = Modules!$A$13,Modules!$B$13)</f>
        <v>health</v>
      </c>
      <c r="D140" s="2" t="s">
        <v>1133</v>
      </c>
      <c r="E140" s="2" t="s">
        <v>1087</v>
      </c>
      <c r="G140" s="2" t="s">
        <v>1134</v>
      </c>
      <c r="H140" s="2" t="s">
        <v>981</v>
      </c>
      <c r="J140" s="2" t="str">
        <f t="shared" si="4"/>
        <v>healthDsblPartnerLongtermFlag</v>
      </c>
      <c r="K140" s="2" t="s">
        <v>1338</v>
      </c>
      <c r="M140" s="10" t="str">
        <f t="shared" si="5"/>
        <v>Yes</v>
      </c>
      <c r="P140" s="2" t="s">
        <v>1339</v>
      </c>
      <c r="Q140" s="6" t="s">
        <v>1253</v>
      </c>
      <c r="S140" s="2" t="s">
        <v>531</v>
      </c>
    </row>
    <row r="141" spans="1:21" ht="13.5" customHeight="1" x14ac:dyDescent="0.2">
      <c r="A141" s="2" t="s">
        <v>133</v>
      </c>
      <c r="C141" s="10" t="str" cm="1">
        <f t="array" ref="C141">_xlfn.IFS(S141 = Modules!$A$2,Modules!$B$2,S141 = Modules!$A$3,Modules!$B$3,S141 = Modules!$A$4,Modules!$B$4,S141 = Modules!$A$5,Modules!$B$5,S141 = Modules!$A$6,Modules!$B$6,S141 = Modules!$A$7,Modules!$B$7,S141 = Modules!$A$8,Modules!$B$8,S141 = Modules!$A$9,Modules!$B$9,S141 = Modules!$A$10,Modules!$B$10,S141 = Modules!$A$11,Modules!$B$11,S141 = Modules!$A$12,Modules!$B$12, S141 = Modules!$A$13,Modules!$B$13)</f>
        <v>health</v>
      </c>
      <c r="D141" s="2" t="s">
        <v>1133</v>
      </c>
      <c r="G141" s="2" t="s">
        <v>1134</v>
      </c>
      <c r="H141" s="2" t="s">
        <v>981</v>
      </c>
      <c r="J141" s="10" t="str">
        <f t="shared" si="4"/>
        <v>healthDsblLongtermFlag</v>
      </c>
      <c r="K141" s="2" t="s">
        <v>924</v>
      </c>
      <c r="L141" s="8" t="s">
        <v>334</v>
      </c>
      <c r="M141" s="10" t="str">
        <f t="shared" si="5"/>
        <v>Yes</v>
      </c>
      <c r="N141" s="2" t="s">
        <v>24</v>
      </c>
      <c r="O141" s="2" t="s">
        <v>521</v>
      </c>
      <c r="S141" s="2" t="s">
        <v>531</v>
      </c>
      <c r="U141" s="2" t="s">
        <v>633</v>
      </c>
    </row>
    <row r="142" spans="1:21" ht="48" x14ac:dyDescent="0.2">
      <c r="A142" s="2" t="s">
        <v>82</v>
      </c>
      <c r="C142" s="10" t="str" cm="1">
        <f t="array" ref="C142">_xlfn.IFS(S142 = Modules!$A$2,Modules!$B$2,S142 = Modules!$A$3,Modules!$B$3,S142 = Modules!$A$4,Modules!$B$4,S142 = Modules!$A$5,Modules!$B$5,S142 = Modules!$A$6,Modules!$B$6,S142 = Modules!$A$7,Modules!$B$7,S142 = Modules!$A$8,Modules!$B$8,S142 = Modules!$A$9,Modules!$B$9,S142 = Modules!$A$10,Modules!$B$10,S142 = Modules!$A$11,Modules!$B$11,S142 = Modules!$A$12,Modules!$B$12, S142 = Modules!$A$13,Modules!$B$13)</f>
        <v>lab</v>
      </c>
      <c r="D142" s="2" t="s">
        <v>1135</v>
      </c>
      <c r="H142" s="2" t="s">
        <v>981</v>
      </c>
      <c r="J142" s="10" t="str">
        <f t="shared" si="4"/>
        <v>labRtrdFlag</v>
      </c>
      <c r="K142" s="2" t="s">
        <v>925</v>
      </c>
      <c r="L142" s="2" t="s">
        <v>170</v>
      </c>
      <c r="M142" s="10" t="str">
        <f t="shared" si="5"/>
        <v>Yes</v>
      </c>
      <c r="N142" s="2" t="s">
        <v>24</v>
      </c>
      <c r="O142" s="2" t="s">
        <v>521</v>
      </c>
      <c r="P142" s="2" t="s">
        <v>1282</v>
      </c>
      <c r="Q142" s="6" t="s">
        <v>1253</v>
      </c>
      <c r="S142" s="6" t="s">
        <v>475</v>
      </c>
      <c r="U142" s="2" t="s">
        <v>83</v>
      </c>
    </row>
    <row r="143" spans="1:21" ht="16" x14ac:dyDescent="0.2">
      <c r="A143" s="10" t="s">
        <v>165</v>
      </c>
      <c r="B143" s="10"/>
      <c r="C143" s="10" t="str" cm="1">
        <f t="array" ref="C143">_xlfn.IFS(S143 = Modules!$A$2,Modules!$B$2,S143 = Modules!$A$3,Modules!$B$3,S143 = Modules!$A$4,Modules!$B$4,S143 = Modules!$A$5,Modules!$B$5,S143 = Modules!$A$6,Modules!$B$6,S143 = Modules!$A$7,Modules!$B$7,S143 = Modules!$A$8,Modules!$B$8,S143 = Modules!$A$9,Modules!$B$9,S143 = Modules!$A$10,Modules!$B$10,S143 = Modules!$A$11,Modules!$B$11,S143 = Modules!$A$12,Modules!$B$12, S143 = Modules!$A$13,Modules!$B$13)</f>
        <v>dem</v>
      </c>
      <c r="D143" s="2" t="s">
        <v>1136</v>
      </c>
      <c r="E143" s="10"/>
      <c r="F143" s="10" t="s">
        <v>1123</v>
      </c>
      <c r="G143" s="2" t="s">
        <v>1139</v>
      </c>
      <c r="H143" s="10"/>
      <c r="I143" s="10"/>
      <c r="J143" s="10" t="str">
        <f t="shared" si="4"/>
        <v>demLifeSatScore1to7</v>
      </c>
      <c r="K143" s="2" t="s">
        <v>695</v>
      </c>
      <c r="L143" s="8" t="s">
        <v>334</v>
      </c>
      <c r="M143" s="10" t="str">
        <f t="shared" si="5"/>
        <v>Yes</v>
      </c>
      <c r="N143" s="2" t="s">
        <v>694</v>
      </c>
      <c r="O143" s="2" t="s">
        <v>521</v>
      </c>
      <c r="S143" s="2" t="s">
        <v>975</v>
      </c>
    </row>
    <row r="144" spans="1:21" ht="13.5" customHeight="1" x14ac:dyDescent="0.2">
      <c r="A144" s="10" t="s">
        <v>377</v>
      </c>
      <c r="B144" s="10"/>
      <c r="C144" s="10" t="str" cm="1">
        <f t="array" ref="C144">_xlfn.IFS(S144 = Modules!$A$2,Modules!$B$2,S144 = Modules!$A$3,Modules!$B$3,S144 = Modules!$A$4,Modules!$B$4,S144 = Modules!$A$5,Modules!$B$5,S144 = Modules!$A$6,Modules!$B$6,S144 = Modules!$A$7,Modules!$B$7,S144 = Modules!$A$8,Modules!$B$8,S144 = Modules!$A$9,Modules!$B$9,S144 = Modules!$A$10,Modules!$B$10,S144 = Modules!$A$11,Modules!$B$11,S144 = Modules!$A$12,Modules!$B$12, S144 = Modules!$A$13,Modules!$B$13)</f>
        <v>dem</v>
      </c>
      <c r="D144" s="2" t="s">
        <v>1136</v>
      </c>
      <c r="E144" s="10"/>
      <c r="F144" s="10" t="s">
        <v>1123</v>
      </c>
      <c r="G144" s="2" t="s">
        <v>1139</v>
      </c>
      <c r="I144" s="2" t="s">
        <v>1063</v>
      </c>
      <c r="J144" s="10" t="str">
        <f t="shared" si="4"/>
        <v>demLifeSatScore1to7L1</v>
      </c>
      <c r="K144" s="2" t="s">
        <v>696</v>
      </c>
      <c r="L144" s="2" t="s">
        <v>334</v>
      </c>
      <c r="M144" s="10" t="str">
        <f t="shared" si="5"/>
        <v>No</v>
      </c>
      <c r="S144" s="2" t="s">
        <v>975</v>
      </c>
    </row>
    <row r="145" spans="1:22" ht="13.5" customHeight="1" x14ac:dyDescent="0.2">
      <c r="A145" s="10" t="s">
        <v>218</v>
      </c>
      <c r="B145" s="10"/>
      <c r="C145" s="10" t="str" cm="1">
        <f t="array" ref="C145">_xlfn.IFS(S145 = Modules!$A$2,Modules!$B$2,S145 = Modules!$A$3,Modules!$B$3,S145 = Modules!$A$4,Modules!$B$4,S145 = Modules!$A$5,Modules!$B$5,S145 = Modules!$A$6,Modules!$B$6,S145 = Modules!$A$7,Modules!$B$7,S145 = Modules!$A$8,Modules!$B$8,S145 = Modules!$A$9,Modules!$B$9,S145 = Modules!$A$10,Modules!$B$10,S145 = Modules!$A$11,Modules!$B$11,S145 = Modules!$A$12,Modules!$B$12, S145 = Modules!$A$13,Modules!$B$13)</f>
        <v>dem</v>
      </c>
      <c r="D145" s="2" t="s">
        <v>1136</v>
      </c>
      <c r="E145" s="10"/>
      <c r="F145" s="10" t="s">
        <v>1123</v>
      </c>
      <c r="G145" s="2" t="s">
        <v>1139</v>
      </c>
      <c r="H145" s="10" t="s">
        <v>1057</v>
      </c>
      <c r="I145" s="10"/>
      <c r="J145" s="10" t="str">
        <f t="shared" si="4"/>
        <v>demLifeSatScore1to7Avg</v>
      </c>
      <c r="K145" s="6" t="s">
        <v>623</v>
      </c>
      <c r="L145" s="10" t="s">
        <v>1034</v>
      </c>
      <c r="M145" s="10" t="str">
        <f t="shared" si="5"/>
        <v>No</v>
      </c>
      <c r="R145" s="4" t="s">
        <v>605</v>
      </c>
      <c r="S145" s="2" t="s">
        <v>975</v>
      </c>
    </row>
    <row r="146" spans="1:22" ht="16" x14ac:dyDescent="0.2">
      <c r="A146" s="10" t="s">
        <v>219</v>
      </c>
      <c r="B146" s="10"/>
      <c r="C146" s="10" t="str" cm="1">
        <f t="array" ref="C146">_xlfn.IFS(S146 = Modules!$A$2,Modules!$B$2,S146 = Modules!$A$3,Modules!$B$3,S146 = Modules!$A$4,Modules!$B$4,S146 = Modules!$A$5,Modules!$B$5,S146 = Modules!$A$6,Modules!$B$6,S146 = Modules!$A$7,Modules!$B$7,S146 = Modules!$A$8,Modules!$B$8,S146 = Modules!$A$9,Modules!$B$9,S146 = Modules!$A$10,Modules!$B$10,S146 = Modules!$A$11,Modules!$B$11,S146 = Modules!$A$12,Modules!$B$12, S146 = Modules!$A$13,Modules!$B$13)</f>
        <v>dem</v>
      </c>
      <c r="D146" s="2" t="s">
        <v>1136</v>
      </c>
      <c r="E146" s="10"/>
      <c r="F146" s="10" t="s">
        <v>1123</v>
      </c>
      <c r="G146" s="2" t="s">
        <v>1139</v>
      </c>
      <c r="H146" s="10" t="s">
        <v>1105</v>
      </c>
      <c r="I146" s="10"/>
      <c r="J146" s="10" t="str">
        <f t="shared" si="4"/>
        <v>demLifeSatScore1to7P50</v>
      </c>
      <c r="K146" s="6" t="s">
        <v>624</v>
      </c>
      <c r="L146" s="10" t="s">
        <v>1034</v>
      </c>
      <c r="M146" s="10" t="str">
        <f t="shared" si="5"/>
        <v>No</v>
      </c>
      <c r="R146" s="4" t="s">
        <v>605</v>
      </c>
      <c r="S146" s="2" t="s">
        <v>975</v>
      </c>
    </row>
    <row r="147" spans="1:22" ht="16" x14ac:dyDescent="0.2">
      <c r="A147" s="10" t="s">
        <v>220</v>
      </c>
      <c r="B147" s="10"/>
      <c r="C147" s="10" t="str" cm="1">
        <f t="array" ref="C147">_xlfn.IFS(S147 = Modules!$A$2,Modules!$B$2,S147 = Modules!$A$3,Modules!$B$3,S147 = Modules!$A$4,Modules!$B$4,S147 = Modules!$A$5,Modules!$B$5,S147 = Modules!$A$6,Modules!$B$6,S147 = Modules!$A$7,Modules!$B$7,S147 = Modules!$A$8,Modules!$B$8,S147 = Modules!$A$9,Modules!$B$9,S147 = Modules!$A$10,Modules!$B$10,S147 = Modules!$A$11,Modules!$B$11,S147 = Modules!$A$12,Modules!$B$12, S147 = Modules!$A$13,Modules!$B$13)</f>
        <v>dem</v>
      </c>
      <c r="D147" s="2" t="s">
        <v>1136</v>
      </c>
      <c r="E147" s="10"/>
      <c r="F147" s="10" t="s">
        <v>1123</v>
      </c>
      <c r="G147" s="2" t="s">
        <v>1139</v>
      </c>
      <c r="H147" s="10" t="s">
        <v>1106</v>
      </c>
      <c r="I147" s="10"/>
      <c r="J147" s="10" t="str">
        <f t="shared" si="4"/>
        <v>demLifeSatScore1to7P10</v>
      </c>
      <c r="K147" s="6" t="s">
        <v>625</v>
      </c>
      <c r="L147" s="10" t="s">
        <v>1034</v>
      </c>
      <c r="M147" s="10" t="str">
        <f t="shared" si="5"/>
        <v>No</v>
      </c>
      <c r="R147" s="4" t="s">
        <v>605</v>
      </c>
      <c r="S147" s="2" t="s">
        <v>975</v>
      </c>
    </row>
    <row r="148" spans="1:22" ht="16" x14ac:dyDescent="0.2">
      <c r="A148" s="10" t="s">
        <v>221</v>
      </c>
      <c r="B148" s="10"/>
      <c r="C148" s="10" t="str" cm="1">
        <f t="array" ref="C148">_xlfn.IFS(S148 = Modules!$A$2,Modules!$B$2,S148 = Modules!$A$3,Modules!$B$3,S148 = Modules!$A$4,Modules!$B$4,S148 = Modules!$A$5,Modules!$B$5,S148 = Modules!$A$6,Modules!$B$6,S148 = Modules!$A$7,Modules!$B$7,S148 = Modules!$A$8,Modules!$B$8,S148 = Modules!$A$9,Modules!$B$9,S148 = Modules!$A$10,Modules!$B$10,S148 = Modules!$A$11,Modules!$B$11,S148 = Modules!$A$12,Modules!$B$12, S148 = Modules!$A$13,Modules!$B$13)</f>
        <v>dem</v>
      </c>
      <c r="D148" s="2" t="s">
        <v>1136</v>
      </c>
      <c r="E148" s="10"/>
      <c r="F148" s="10" t="s">
        <v>1123</v>
      </c>
      <c r="G148" s="2" t="s">
        <v>1139</v>
      </c>
      <c r="H148" s="10" t="s">
        <v>1107</v>
      </c>
      <c r="I148" s="10"/>
      <c r="J148" s="10" t="str">
        <f t="shared" si="4"/>
        <v>demLifeSatScore1to7P25</v>
      </c>
      <c r="K148" s="6" t="s">
        <v>626</v>
      </c>
      <c r="L148" s="10" t="s">
        <v>1034</v>
      </c>
      <c r="M148" s="10" t="str">
        <f t="shared" si="5"/>
        <v>No</v>
      </c>
      <c r="R148" s="4" t="s">
        <v>605</v>
      </c>
      <c r="S148" s="2" t="s">
        <v>975</v>
      </c>
    </row>
    <row r="149" spans="1:22" ht="13.5" customHeight="1" x14ac:dyDescent="0.2">
      <c r="A149" s="10" t="s">
        <v>222</v>
      </c>
      <c r="B149" s="10"/>
      <c r="C149" s="10" t="str" cm="1">
        <f t="array" ref="C149">_xlfn.IFS(S149 = Modules!$A$2,Modules!$B$2,S149 = Modules!$A$3,Modules!$B$3,S149 = Modules!$A$4,Modules!$B$4,S149 = Modules!$A$5,Modules!$B$5,S149 = Modules!$A$6,Modules!$B$6,S149 = Modules!$A$7,Modules!$B$7,S149 = Modules!$A$8,Modules!$B$8,S149 = Modules!$A$9,Modules!$B$9,S149 = Modules!$A$10,Modules!$B$10,S149 = Modules!$A$11,Modules!$B$11,S149 = Modules!$A$12,Modules!$B$12, S149 = Modules!$A$13,Modules!$B$13)</f>
        <v>dem</v>
      </c>
      <c r="D149" s="2" t="s">
        <v>1136</v>
      </c>
      <c r="E149" s="10"/>
      <c r="F149" s="10" t="s">
        <v>1123</v>
      </c>
      <c r="G149" s="2" t="s">
        <v>1139</v>
      </c>
      <c r="H149" s="10" t="s">
        <v>1108</v>
      </c>
      <c r="I149" s="10"/>
      <c r="J149" s="10" t="str">
        <f t="shared" si="4"/>
        <v>demLifeSatScore1to7P75</v>
      </c>
      <c r="K149" s="6" t="s">
        <v>627</v>
      </c>
      <c r="L149" s="10" t="s">
        <v>1034</v>
      </c>
      <c r="M149" s="10" t="str">
        <f t="shared" si="5"/>
        <v>No</v>
      </c>
      <c r="R149" s="4" t="s">
        <v>605</v>
      </c>
      <c r="S149" s="2" t="s">
        <v>975</v>
      </c>
    </row>
    <row r="150" spans="1:22" ht="16" x14ac:dyDescent="0.2">
      <c r="A150" s="10" t="s">
        <v>223</v>
      </c>
      <c r="B150" s="10"/>
      <c r="C150" s="10" t="str" cm="1">
        <f t="array" ref="C150">_xlfn.IFS(S150 = Modules!$A$2,Modules!$B$2,S150 = Modules!$A$3,Modules!$B$3,S150 = Modules!$A$4,Modules!$B$4,S150 = Modules!$A$5,Modules!$B$5,S150 = Modules!$A$6,Modules!$B$6,S150 = Modules!$A$7,Modules!$B$7,S150 = Modules!$A$8,Modules!$B$8,S150 = Modules!$A$9,Modules!$B$9,S150 = Modules!$A$10,Modules!$B$10,S150 = Modules!$A$11,Modules!$B$11,S150 = Modules!$A$12,Modules!$B$12, S150 = Modules!$A$13,Modules!$B$13)</f>
        <v>dem</v>
      </c>
      <c r="D150" s="2" t="s">
        <v>1136</v>
      </c>
      <c r="E150" s="10"/>
      <c r="F150" s="10" t="s">
        <v>1123</v>
      </c>
      <c r="G150" s="2" t="s">
        <v>1139</v>
      </c>
      <c r="H150" s="10" t="s">
        <v>1109</v>
      </c>
      <c r="I150" s="10"/>
      <c r="J150" s="10" t="str">
        <f t="shared" si="4"/>
        <v>demLifeSatScore1to7P90</v>
      </c>
      <c r="K150" s="6" t="s">
        <v>628</v>
      </c>
      <c r="L150" s="10" t="s">
        <v>1034</v>
      </c>
      <c r="M150" s="10" t="str">
        <f t="shared" si="5"/>
        <v>No</v>
      </c>
      <c r="R150" s="4" t="s">
        <v>605</v>
      </c>
      <c r="S150" s="2" t="s">
        <v>975</v>
      </c>
    </row>
    <row r="151" spans="1:22" ht="16" x14ac:dyDescent="0.2">
      <c r="A151" s="10" t="s">
        <v>376</v>
      </c>
      <c r="B151" s="10"/>
      <c r="C151" s="10" t="str" cm="1">
        <f t="array" ref="C151">_xlfn.IFS(S151 = Modules!$A$2,Modules!$B$2,S151 = Modules!$A$3,Modules!$B$3,S151 = Modules!$A$4,Modules!$B$4,S151 = Modules!$A$5,Modules!$B$5,S151 = Modules!$A$6,Modules!$B$6,S151 = Modules!$A$7,Modules!$B$7,S151 = Modules!$A$8,Modules!$B$8,S151 = Modules!$A$9,Modules!$B$9,S151 = Modules!$A$10,Modules!$B$10,S151 = Modules!$A$11,Modules!$B$11,S151 = Modules!$A$12,Modules!$B$12, S151 = Modules!$A$13,Modules!$B$13)</f>
        <v>dem</v>
      </c>
      <c r="D151" s="2" t="s">
        <v>1136</v>
      </c>
      <c r="E151" s="10"/>
      <c r="F151" s="10" t="s">
        <v>1123</v>
      </c>
      <c r="G151" s="2" t="s">
        <v>1139</v>
      </c>
      <c r="H151" s="10" t="s">
        <v>1140</v>
      </c>
      <c r="I151" s="10"/>
      <c r="J151" s="10" t="str">
        <f t="shared" si="4"/>
        <v>demLifeSatScore1to7Pred</v>
      </c>
      <c r="K151" s="2" t="s">
        <v>697</v>
      </c>
      <c r="L151" s="2" t="s">
        <v>334</v>
      </c>
      <c r="M151" s="10" t="str">
        <f t="shared" si="5"/>
        <v>No</v>
      </c>
      <c r="S151" s="2" t="s">
        <v>975</v>
      </c>
    </row>
    <row r="152" spans="1:22" ht="96" x14ac:dyDescent="0.2">
      <c r="A152" s="2" t="s">
        <v>53</v>
      </c>
      <c r="C152" s="10" t="str" cm="1">
        <f t="array" ref="C152">_xlfn.IFS(S152 = Modules!$A$2,Modules!$B$2,S152 = Modules!$A$3,Modules!$B$3,S152 = Modules!$A$4,Modules!$B$4,S152 = Modules!$A$5,Modules!$B$5,S152 = Modules!$A$6,Modules!$B$6,S152 = Modules!$A$7,Modules!$B$7,S152 = Modules!$A$8,Modules!$B$8,S152 = Modules!$A$9,Modules!$B$9,S152 = Modules!$A$10,Modules!$B$10,S152 = Modules!$A$11,Modules!$B$11,S152 = Modules!$A$12,Modules!$B$12, S152 = Modules!$A$13,Modules!$B$13)</f>
        <v>dem</v>
      </c>
      <c r="D152" s="2" t="s">
        <v>1141</v>
      </c>
      <c r="J152" s="10" t="str">
        <f t="shared" si="4"/>
        <v>demNChild</v>
      </c>
      <c r="K152" s="2" t="s">
        <v>467</v>
      </c>
      <c r="L152" s="2" t="s">
        <v>334</v>
      </c>
      <c r="M152" s="10" t="str">
        <f t="shared" si="5"/>
        <v>Yes</v>
      </c>
      <c r="N152" s="2" t="s">
        <v>54</v>
      </c>
      <c r="O152" s="4" t="s">
        <v>521</v>
      </c>
      <c r="P152" s="2" t="s">
        <v>1280</v>
      </c>
      <c r="Q152" s="6" t="s">
        <v>1253</v>
      </c>
      <c r="S152" s="4" t="s">
        <v>975</v>
      </c>
      <c r="U152" s="2" t="s">
        <v>98</v>
      </c>
    </row>
    <row r="153" spans="1:22" ht="13.5" customHeight="1" x14ac:dyDescent="0.2">
      <c r="A153" s="2" t="s">
        <v>31</v>
      </c>
      <c r="C153" s="10" t="str" cm="1">
        <f t="array" ref="C153">_xlfn.IFS(S153 = Modules!$A$2,Modules!$B$2,S153 = Modules!$A$3,Modules!$B$3,S153 = Modules!$A$4,Modules!$B$4,S153 = Modules!$A$5,Modules!$B$5,S153 = Modules!$A$6,Modules!$B$6,S153 = Modules!$A$7,Modules!$B$7,S153 = Modules!$A$8,Modules!$B$8,S153 = Modules!$A$9,Modules!$B$9,S153 = Modules!$A$10,Modules!$B$10,S153 = Modules!$A$11,Modules!$B$11,S153 = Modules!$A$12,Modules!$B$12, S153 = Modules!$A$13,Modules!$B$13)</f>
        <v>dem</v>
      </c>
      <c r="D153" s="2" t="s">
        <v>1141</v>
      </c>
      <c r="G153" s="2" t="s">
        <v>1142</v>
      </c>
      <c r="J153" s="10" t="str">
        <f t="shared" si="4"/>
        <v>demNChild0to2</v>
      </c>
      <c r="K153" s="2" t="s">
        <v>466</v>
      </c>
      <c r="L153" s="2" t="s">
        <v>334</v>
      </c>
      <c r="M153" s="10" t="str">
        <f t="shared" si="5"/>
        <v>Yes</v>
      </c>
      <c r="N153" s="2" t="s">
        <v>513</v>
      </c>
      <c r="O153" s="4" t="s">
        <v>521</v>
      </c>
      <c r="P153" s="2" t="s">
        <v>1280</v>
      </c>
      <c r="Q153" s="6" t="s">
        <v>1253</v>
      </c>
      <c r="S153" s="4" t="s">
        <v>975</v>
      </c>
      <c r="U153" s="2" t="s">
        <v>97</v>
      </c>
    </row>
    <row r="154" spans="1:22" ht="13.5" customHeight="1" x14ac:dyDescent="0.2">
      <c r="A154" s="10" t="s">
        <v>166</v>
      </c>
      <c r="B154" s="10"/>
      <c r="C154" s="10" t="str" cm="1">
        <f t="array" ref="C154">_xlfn.IFS(S154 = Modules!$A$2,Modules!$B$2,S154 = Modules!$A$3,Modules!$B$3,S154 = Modules!$A$4,Modules!$B$4,S154 = Modules!$A$5,Modules!$B$5,S154 = Modules!$A$6,Modules!$B$6,S154 = Modules!$A$7,Modules!$B$7,S154 = Modules!$A$8,Modules!$B$8,S154 = Modules!$A$9,Modules!$B$9,S154 = Modules!$A$10,Modules!$B$10,S154 = Modules!$A$11,Modules!$B$11,S154 = Modules!$A$12,Modules!$B$12, S154 = Modules!$A$13,Modules!$B$13)</f>
        <v>dem</v>
      </c>
      <c r="D154" s="2" t="s">
        <v>1143</v>
      </c>
      <c r="E154" s="10"/>
      <c r="F154" s="10"/>
      <c r="G154" s="10"/>
      <c r="H154" s="10" t="s">
        <v>1117</v>
      </c>
      <c r="I154" s="10"/>
      <c r="J154" s="10" t="str">
        <f t="shared" si="4"/>
        <v>demEthnC4</v>
      </c>
      <c r="K154" s="2" t="s">
        <v>699</v>
      </c>
      <c r="L154" s="10" t="s">
        <v>334</v>
      </c>
      <c r="M154" s="10" t="str">
        <f t="shared" si="5"/>
        <v>Yes</v>
      </c>
      <c r="N154" s="2" t="s">
        <v>698</v>
      </c>
      <c r="O154" s="2" t="s">
        <v>521</v>
      </c>
      <c r="S154" s="2" t="s">
        <v>975</v>
      </c>
    </row>
    <row r="155" spans="1:22" ht="13.5" customHeight="1" x14ac:dyDescent="0.2">
      <c r="A155" s="10" t="s">
        <v>167</v>
      </c>
      <c r="B155" s="10"/>
      <c r="C155" s="10" t="str" cm="1">
        <f t="array" ref="C155">_xlfn.IFS(S155 = Modules!$A$2,Modules!$B$2,S155 = Modules!$A$3,Modules!$B$3,S155 = Modules!$A$4,Modules!$B$4,S155 = Modules!$A$5,Modules!$B$5,S155 = Modules!$A$6,Modules!$B$6,S155 = Modules!$A$7,Modules!$B$7,S155 = Modules!$A$8,Modules!$B$8,S155 = Modules!$A$9,Modules!$B$9,S155 = Modules!$A$10,Modules!$B$10,S155 = Modules!$A$11,Modules!$B$11,S155 = Modules!$A$12,Modules!$B$12, S155 = Modules!$A$13,Modules!$B$13)</f>
        <v>dem</v>
      </c>
      <c r="D155" s="2" t="s">
        <v>1143</v>
      </c>
      <c r="E155" s="10"/>
      <c r="F155" s="10"/>
      <c r="G155" s="10"/>
      <c r="H155" s="10" t="s">
        <v>1119</v>
      </c>
      <c r="I155" s="10"/>
      <c r="J155" s="10" t="str">
        <f t="shared" si="4"/>
        <v>demEthnC6</v>
      </c>
      <c r="K155" s="2" t="s">
        <v>700</v>
      </c>
      <c r="L155" s="10" t="s">
        <v>334</v>
      </c>
      <c r="M155" s="10" t="str">
        <f t="shared" si="5"/>
        <v>Yes</v>
      </c>
      <c r="N155" s="2" t="s">
        <v>698</v>
      </c>
      <c r="O155" s="2" t="s">
        <v>521</v>
      </c>
      <c r="S155" s="2" t="s">
        <v>975</v>
      </c>
    </row>
    <row r="156" spans="1:22" ht="13.5" customHeight="1" x14ac:dyDescent="0.2">
      <c r="A156" s="2" t="s">
        <v>119</v>
      </c>
      <c r="C156" s="10" t="str" cm="1">
        <f t="array" ref="C156">_xlfn.IFS(S156 = Modules!$A$2,Modules!$B$2,S156 = Modules!$A$3,Modules!$B$3,S156 = Modules!$A$4,Modules!$B$4,S156 = Modules!$A$5,Modules!$B$5,S156 = Modules!$A$6,Modules!$B$6,S156 = Modules!$A$7,Modules!$B$7,S156 = Modules!$A$8,Modules!$B$8,S156 = Modules!$A$9,Modules!$B$9,S156 = Modules!$A$10,Modules!$B$10,S156 = Modules!$A$11,Modules!$B$11,S156 = Modules!$A$12,Modules!$B$12, S156 = Modules!$A$13,Modules!$B$13)</f>
        <v>dem</v>
      </c>
      <c r="D156" s="2" t="s">
        <v>1144</v>
      </c>
      <c r="J156" s="10" t="str">
        <f t="shared" si="4"/>
        <v>demRgn</v>
      </c>
      <c r="K156" s="2" t="s">
        <v>1372</v>
      </c>
      <c r="L156" s="2" t="s">
        <v>170</v>
      </c>
      <c r="M156" s="10" t="str">
        <f t="shared" si="5"/>
        <v>Yes</v>
      </c>
      <c r="N156" s="2" t="s">
        <v>10</v>
      </c>
      <c r="O156" s="4" t="s">
        <v>521</v>
      </c>
      <c r="P156" s="4" t="s">
        <v>1258</v>
      </c>
      <c r="Q156" s="6" t="s">
        <v>1253</v>
      </c>
      <c r="S156" s="4" t="s">
        <v>975</v>
      </c>
      <c r="U156" s="2" t="s">
        <v>11</v>
      </c>
      <c r="V156" s="2" t="s">
        <v>563</v>
      </c>
    </row>
    <row r="157" spans="1:22" ht="13.5" customHeight="1" x14ac:dyDescent="0.2">
      <c r="A157" s="2" t="s">
        <v>84</v>
      </c>
      <c r="C157" s="10" t="str" cm="1">
        <f t="array" ref="C157">_xlfn.IFS(S157 = Modules!$A$2,Modules!$B$2,S157 = Modules!$A$3,Modules!$B$3,S157 = Modules!$A$4,Modules!$B$4,S157 = Modules!$A$5,Modules!$B$5,S157 = Modules!$A$6,Modules!$B$6,S157 = Modules!$A$7,Modules!$B$7,S157 = Modules!$A$8,Modules!$B$8,S157 = Modules!$A$9,Modules!$B$9,S157 = Modules!$A$10,Modules!$B$10,S157 = Modules!$A$11,Modules!$B$11,S157 = Modules!$A$12,Modules!$B$12, S157 = Modules!$A$13,Modules!$B$13)</f>
        <v>dem</v>
      </c>
      <c r="D157" s="2" t="s">
        <v>1135</v>
      </c>
      <c r="F157" s="2" t="s">
        <v>1089</v>
      </c>
      <c r="H157" s="2" t="s">
        <v>981</v>
      </c>
      <c r="J157" s="10" t="str">
        <f t="shared" si="4"/>
        <v>demRtrdEnterFlag</v>
      </c>
      <c r="K157" s="2" t="s">
        <v>926</v>
      </c>
      <c r="L157" s="2" t="s">
        <v>170</v>
      </c>
      <c r="M157" s="10" t="str">
        <f t="shared" si="5"/>
        <v>Yes</v>
      </c>
      <c r="N157" s="2" t="s">
        <v>24</v>
      </c>
      <c r="O157" s="2" t="s">
        <v>521</v>
      </c>
      <c r="P157" s="2" t="s">
        <v>1283</v>
      </c>
      <c r="Q157" s="6" t="s">
        <v>1253</v>
      </c>
      <c r="S157" s="6" t="s">
        <v>975</v>
      </c>
      <c r="U157" s="2" t="s">
        <v>85</v>
      </c>
    </row>
    <row r="158" spans="1:22" ht="13.5" customHeight="1" x14ac:dyDescent="0.2">
      <c r="A158" s="10" t="s">
        <v>144</v>
      </c>
      <c r="B158" s="10"/>
      <c r="C158" s="10" t="str" cm="1">
        <f t="array" ref="C158">_xlfn.IFS(S158 = Modules!$A$2,Modules!$B$2,S158 = Modules!$A$3,Modules!$B$3,S158 = Modules!$A$4,Modules!$B$4,S158 = Modules!$A$5,Modules!$B$5,S158 = Modules!$A$6,Modules!$B$6,S158 = Modules!$A$7,Modules!$B$7,S158 = Modules!$A$8,Modules!$B$8,S158 = Modules!$A$9,Modules!$B$9,S158 = Modules!$A$10,Modules!$B$10,S158 = Modules!$A$11,Modules!$B$11,S158 = Modules!$A$12,Modules!$B$12, S158 = Modules!$A$13,Modules!$B$13)</f>
        <v>wgt</v>
      </c>
      <c r="E158" s="10" t="s">
        <v>1116</v>
      </c>
      <c r="F158" s="10" t="s">
        <v>1121</v>
      </c>
      <c r="G158" s="10"/>
      <c r="H158" s="10"/>
      <c r="I158" s="10"/>
      <c r="J158" s="10" t="str">
        <f t="shared" si="4"/>
        <v>wgtHhCross</v>
      </c>
      <c r="K158" s="2" t="s">
        <v>465</v>
      </c>
      <c r="L158" s="8" t="s">
        <v>170</v>
      </c>
      <c r="M158" s="10" t="str">
        <f t="shared" si="5"/>
        <v>Yes</v>
      </c>
      <c r="N158" s="2" t="s">
        <v>668</v>
      </c>
      <c r="O158" s="2" t="s">
        <v>521</v>
      </c>
      <c r="P158" s="2" t="s">
        <v>1315</v>
      </c>
      <c r="Q158" s="6" t="s">
        <v>1253</v>
      </c>
      <c r="S158" s="4" t="s">
        <v>508</v>
      </c>
    </row>
    <row r="159" spans="1:22" ht="16" x14ac:dyDescent="0.2">
      <c r="A159" s="2" t="s">
        <v>141</v>
      </c>
      <c r="C159" s="10" t="str" cm="1">
        <f t="array" ref="C159">_xlfn.IFS(S159 = Modules!$A$2,Modules!$B$2,S159 = Modules!$A$3,Modules!$B$3,S159 = Modules!$A$4,Modules!$B$4,S159 = Modules!$A$5,Modules!$B$5,S159 = Modules!$A$6,Modules!$B$6,S159 = Modules!$A$7,Modules!$B$7,S159 = Modules!$A$8,Modules!$B$8,S159 = Modules!$A$9,Modules!$B$9,S159 = Modules!$A$10,Modules!$B$10,S159 = Modules!$A$11,Modules!$B$11,S159 = Modules!$A$12,Modules!$B$12, S159 = Modules!$A$13,Modules!$B$13)</f>
        <v>wgt</v>
      </c>
      <c r="E159" s="2" t="s">
        <v>1116</v>
      </c>
      <c r="F159" s="10" t="s">
        <v>1121</v>
      </c>
      <c r="J159" s="10" t="str">
        <f t="shared" si="4"/>
        <v>wgtHhCross</v>
      </c>
      <c r="K159" s="2" t="s">
        <v>465</v>
      </c>
      <c r="L159" s="8" t="s">
        <v>170</v>
      </c>
      <c r="M159" s="10" t="str">
        <f t="shared" si="5"/>
        <v>Yes</v>
      </c>
      <c r="N159" s="2" t="s">
        <v>144</v>
      </c>
      <c r="O159" s="2" t="s">
        <v>669</v>
      </c>
      <c r="P159" s="2" t="s">
        <v>1362</v>
      </c>
      <c r="Q159" s="2" t="s">
        <v>1361</v>
      </c>
      <c r="S159" s="4" t="s">
        <v>508</v>
      </c>
    </row>
    <row r="160" spans="1:22" ht="112" x14ac:dyDescent="0.2">
      <c r="A160" s="2" t="s">
        <v>117</v>
      </c>
      <c r="C160" s="10" t="str" cm="1">
        <f t="array" ref="C160">_xlfn.IFS(S160 = Modules!$A$2,Modules!$B$2,S160 = Modules!$A$3,Modules!$B$3,S160 = Modules!$A$4,Modules!$B$4,S160 = Modules!$A$5,Modules!$B$5,S160 = Modules!$A$6,Modules!$B$6,S160 = Modules!$A$7,Modules!$B$7,S160 = Modules!$A$8,Modules!$B$8,S160 = Modules!$A$9,Modules!$B$9,S160 = Modules!$A$10,Modules!$B$10,S160 = Modules!$A$11,Modules!$B$11,S160 = Modules!$A$12,Modules!$B$12, S160 = Modules!$A$13,Modules!$B$13)</f>
        <v>y</v>
      </c>
      <c r="D160" s="2" t="s">
        <v>1067</v>
      </c>
      <c r="G160" s="2" t="s">
        <v>1145</v>
      </c>
      <c r="H160" s="2" t="s">
        <v>981</v>
      </c>
      <c r="J160" s="10" t="str">
        <f t="shared" si="4"/>
        <v>yBenReceivedFlag</v>
      </c>
      <c r="K160" s="2" t="s">
        <v>655</v>
      </c>
      <c r="L160" s="2" t="s">
        <v>334</v>
      </c>
      <c r="M160" s="10" t="str">
        <f t="shared" si="5"/>
        <v>Yes</v>
      </c>
      <c r="N160" s="2" t="s">
        <v>118</v>
      </c>
      <c r="O160" s="2" t="s">
        <v>521</v>
      </c>
      <c r="S160" s="2" t="s">
        <v>480</v>
      </c>
      <c r="U160" s="2" t="s">
        <v>128</v>
      </c>
    </row>
    <row r="161" spans="1:21" ht="13.5" customHeight="1" x14ac:dyDescent="0.2">
      <c r="A161" s="10" t="s">
        <v>155</v>
      </c>
      <c r="B161" s="10"/>
      <c r="C161" s="10" t="str" cm="1">
        <f t="array" ref="C161">_xlfn.IFS(S161 = Modules!$A$2,Modules!$B$2,S161 = Modules!$A$3,Modules!$B$3,S161 = Modules!$A$4,Modules!$B$4,S161 = Modules!$A$5,Modules!$B$5,S161 = Modules!$A$6,Modules!$B$6,S161 = Modules!$A$7,Modules!$B$7,S161 = Modules!$A$8,Modules!$B$8,S161 = Modules!$A$9,Modules!$B$9,S161 = Modules!$A$10,Modules!$B$10,S161 = Modules!$A$11,Modules!$B$11,S161 = Modules!$A$12,Modules!$B$12, S161 = Modules!$A$13,Modules!$B$13)</f>
        <v>y</v>
      </c>
      <c r="D161" s="2" t="s">
        <v>1067</v>
      </c>
      <c r="E161" s="10"/>
      <c r="F161" s="2" t="s">
        <v>1147</v>
      </c>
      <c r="G161" s="2" t="s">
        <v>1145</v>
      </c>
      <c r="H161" s="2" t="s">
        <v>981</v>
      </c>
      <c r="J161" s="10" t="str">
        <f t="shared" si="4"/>
        <v>yBenNonUCReceivedFlag</v>
      </c>
      <c r="K161" s="2" t="s">
        <v>657</v>
      </c>
      <c r="L161" s="2" t="s">
        <v>334</v>
      </c>
      <c r="M161" s="10" t="str">
        <f t="shared" si="5"/>
        <v>Yes</v>
      </c>
      <c r="N161" s="2" t="s">
        <v>656</v>
      </c>
      <c r="O161" s="2" t="s">
        <v>521</v>
      </c>
      <c r="S161" s="2" t="s">
        <v>480</v>
      </c>
    </row>
    <row r="162" spans="1:21" ht="13.5" customHeight="1" x14ac:dyDescent="0.2">
      <c r="A162" s="10" t="s">
        <v>156</v>
      </c>
      <c r="B162" s="10"/>
      <c r="C162" s="10" t="str" cm="1">
        <f t="array" ref="C162">_xlfn.IFS(S162 = Modules!$A$2,Modules!$B$2,S162 = Modules!$A$3,Modules!$B$3,S162 = Modules!$A$4,Modules!$B$4,S162 = Modules!$A$5,Modules!$B$5,S162 = Modules!$A$6,Modules!$B$6,S162 = Modules!$A$7,Modules!$B$7,S162 = Modules!$A$8,Modules!$B$8,S162 = Modules!$A$9,Modules!$B$9,S162 = Modules!$A$10,Modules!$B$10,S162 = Modules!$A$11,Modules!$B$11,S162 = Modules!$A$12,Modules!$B$12, S162 = Modules!$A$13,Modules!$B$13)</f>
        <v>y</v>
      </c>
      <c r="D162" s="2" t="s">
        <v>1067</v>
      </c>
      <c r="F162" s="2" t="s">
        <v>1148</v>
      </c>
      <c r="G162" s="2" t="s">
        <v>1145</v>
      </c>
      <c r="H162" s="2" t="s">
        <v>981</v>
      </c>
      <c r="J162" s="10" t="str">
        <f t="shared" si="4"/>
        <v>yBenUCReceivedFlag</v>
      </c>
      <c r="K162" s="2" t="s">
        <v>658</v>
      </c>
      <c r="L162" s="2" t="s">
        <v>334</v>
      </c>
      <c r="M162" s="10" t="str">
        <f t="shared" si="5"/>
        <v>Yes</v>
      </c>
      <c r="N162" s="2" t="s">
        <v>656</v>
      </c>
      <c r="O162" s="2" t="s">
        <v>521</v>
      </c>
      <c r="S162" s="2" t="s">
        <v>480</v>
      </c>
    </row>
    <row r="163" spans="1:21" ht="32" x14ac:dyDescent="0.2">
      <c r="A163" s="10" t="s">
        <v>194</v>
      </c>
      <c r="B163" s="10"/>
      <c r="C163" s="10" t="str" cm="1">
        <f t="array" ref="C163">_xlfn.IFS(S163 = Modules!$A$2,Modules!$B$2,S163 = Modules!$A$3,Modules!$B$3,S163 = Modules!$A$4,Modules!$B$4,S163 = Modules!$A$5,Modules!$B$5,S163 = Modules!$A$6,Modules!$B$6,S163 = Modules!$A$7,Modules!$B$7,S163 = Modules!$A$8,Modules!$B$8,S163 = Modules!$A$9,Modules!$B$9,S163 = Modules!$A$10,Modules!$B$10,S163 = Modules!$A$11,Modules!$B$11,S163 = Modules!$A$12,Modules!$B$12, S163 = Modules!$A$13,Modules!$B$13)</f>
        <v>lab</v>
      </c>
      <c r="D163" s="10" t="s">
        <v>194</v>
      </c>
      <c r="E163" s="10"/>
      <c r="F163" s="10"/>
      <c r="G163" s="10"/>
      <c r="H163" s="2" t="s">
        <v>1053</v>
      </c>
      <c r="I163" s="10"/>
      <c r="J163" s="10" t="str">
        <f t="shared" si="4"/>
        <v>labEmpToNotEmpShare</v>
      </c>
      <c r="K163" s="2" t="s">
        <v>739</v>
      </c>
      <c r="L163" s="10" t="s">
        <v>1035</v>
      </c>
      <c r="M163" s="10" t="str">
        <f t="shared" si="5"/>
        <v>No</v>
      </c>
      <c r="R163" s="4" t="s">
        <v>745</v>
      </c>
      <c r="S163" s="2" t="s">
        <v>475</v>
      </c>
    </row>
    <row r="164" spans="1:21" ht="13.5" customHeight="1" x14ac:dyDescent="0.2">
      <c r="A164" s="10" t="s">
        <v>180</v>
      </c>
      <c r="B164" s="10"/>
      <c r="C164" s="10" t="str" cm="1">
        <f t="array" ref="C164">_xlfn.IFS(S164 = Modules!$A$2,Modules!$B$2,S164 = Modules!$A$3,Modules!$B$3,S164 = Modules!$A$4,Modules!$B$4,S164 = Modules!$A$5,Modules!$B$5,S164 = Modules!$A$6,Modules!$B$6,S164 = Modules!$A$7,Modules!$B$7,S164 = Modules!$A$8,Modules!$B$8,S164 = Modules!$A$9,Modules!$B$9,S164 = Modules!$A$10,Modules!$B$10,S164 = Modules!$A$11,Modules!$B$11,S164 = Modules!$A$12,Modules!$B$12, S164 = Modules!$A$13,Modules!$B$13)</f>
        <v>y</v>
      </c>
      <c r="D164" s="10"/>
      <c r="E164" s="10"/>
      <c r="F164" s="2" t="s">
        <v>1150</v>
      </c>
      <c r="G164" s="10"/>
      <c r="I164" s="10" t="s">
        <v>706</v>
      </c>
      <c r="J164" s="10" t="str">
        <f t="shared" si="4"/>
        <v>yDispEquivYear</v>
      </c>
      <c r="K164" s="2" t="s">
        <v>716</v>
      </c>
      <c r="L164" s="2" t="s">
        <v>451</v>
      </c>
      <c r="M164" s="10" t="str">
        <f t="shared" si="5"/>
        <v>No</v>
      </c>
      <c r="S164" s="2" t="s">
        <v>480</v>
      </c>
    </row>
    <row r="165" spans="1:21" ht="13.5" customHeight="1" x14ac:dyDescent="0.2">
      <c r="A165" s="10" t="s">
        <v>435</v>
      </c>
      <c r="B165" s="10"/>
      <c r="C165" s="10" t="str" cm="1">
        <f t="array" ref="C165">_xlfn.IFS(S165 = Modules!$A$2,Modules!$B$2,S165 = Modules!$A$3,Modules!$B$3,S165 = Modules!$A$4,Modules!$B$4,S165 = Modules!$A$5,Modules!$B$5,S165 = Modules!$A$6,Modules!$B$6,S165 = Modules!$A$7,Modules!$B$7,S165 = Modules!$A$8,Modules!$B$8,S165 = Modules!$A$9,Modules!$B$9,S165 = Modules!$A$10,Modules!$B$10,S165 = Modules!$A$11,Modules!$B$11,S165 = Modules!$A$12,Modules!$B$12, S165 = Modules!$A$13,Modules!$B$13)</f>
        <v>y</v>
      </c>
      <c r="D165" s="10"/>
      <c r="E165" s="10"/>
      <c r="F165" s="2" t="s">
        <v>1150</v>
      </c>
      <c r="G165" s="10"/>
      <c r="I165" s="10" t="s">
        <v>1151</v>
      </c>
      <c r="J165" s="10" t="str">
        <f t="shared" si="4"/>
        <v>yDispEquivYearL1</v>
      </c>
      <c r="K165" s="2" t="s">
        <v>717</v>
      </c>
      <c r="L165" s="2" t="s">
        <v>451</v>
      </c>
      <c r="M165" s="10" t="str">
        <f t="shared" si="5"/>
        <v>No</v>
      </c>
      <c r="S165" s="2" t="s">
        <v>480</v>
      </c>
    </row>
    <row r="166" spans="1:21" ht="13.5" customHeight="1" x14ac:dyDescent="0.2">
      <c r="A166" s="10" t="s">
        <v>321</v>
      </c>
      <c r="B166" s="10"/>
      <c r="C166" s="10" t="str" cm="1">
        <f t="array" ref="C166">_xlfn.IFS(S166 = Modules!$A$2,Modules!$B$2,S166 = Modules!$A$3,Modules!$B$3,S166 = Modules!$A$4,Modules!$B$4,S166 = Modules!$A$5,Modules!$B$5,S166 = Modules!$A$6,Modules!$B$6,S166 = Modules!$A$7,Modules!$B$7,S166 = Modules!$A$8,Modules!$B$8,S166 = Modules!$A$9,Modules!$B$9,S166 = Modules!$A$10,Modules!$B$10,S166 = Modules!$A$11,Modules!$B$11,S166 = Modules!$A$12,Modules!$B$12, S166 = Modules!$A$13,Modules!$B$13)</f>
        <v>dem</v>
      </c>
      <c r="D166" s="10" t="s">
        <v>1152</v>
      </c>
      <c r="E166" s="10"/>
      <c r="F166" s="2" t="s">
        <v>1153</v>
      </c>
      <c r="G166" s="10"/>
      <c r="H166" s="10"/>
      <c r="I166" s="10"/>
      <c r="J166" s="10" t="str">
        <f t="shared" si="4"/>
        <v>demFertAdj</v>
      </c>
      <c r="K166" s="2" t="s">
        <v>855</v>
      </c>
      <c r="L166" s="10" t="s">
        <v>1036</v>
      </c>
      <c r="M166" s="10" t="str">
        <f t="shared" si="5"/>
        <v>No</v>
      </c>
      <c r="R166" s="4" t="s">
        <v>795</v>
      </c>
      <c r="S166" s="2" t="s">
        <v>975</v>
      </c>
    </row>
    <row r="167" spans="1:21" ht="13.5" customHeight="1" x14ac:dyDescent="0.2">
      <c r="A167" s="10" t="s">
        <v>322</v>
      </c>
      <c r="B167" s="10"/>
      <c r="C167" s="10" t="str" cm="1">
        <f t="array" ref="C167">_xlfn.IFS(S167 = Modules!$A$2,Modules!$B$2,S167 = Modules!$A$3,Modules!$B$3,S167 = Modules!$A$4,Modules!$B$4,S167 = Modules!$A$5,Modules!$B$5,S167 = Modules!$A$6,Modules!$B$6,S167 = Modules!$A$7,Modules!$B$7,S167 = Modules!$A$8,Modules!$B$8,S167 = Modules!$A$9,Modules!$B$9,S167 = Modules!$A$10,Modules!$B$10,S167 = Modules!$A$11,Modules!$B$11,S167 = Modules!$A$12,Modules!$B$12, S167 = Modules!$A$13,Modules!$B$13)</f>
        <v>dem</v>
      </c>
      <c r="D167" s="10" t="s">
        <v>1152</v>
      </c>
      <c r="E167" s="10"/>
      <c r="F167" s="2" t="s">
        <v>1154</v>
      </c>
      <c r="G167" s="10" t="s">
        <v>1155</v>
      </c>
      <c r="H167" s="10"/>
      <c r="I167" s="10"/>
      <c r="J167" s="10" t="str">
        <f t="shared" si="4"/>
        <v>demFertRateSim</v>
      </c>
      <c r="K167" s="2" t="s">
        <v>856</v>
      </c>
      <c r="L167" s="10" t="s">
        <v>1036</v>
      </c>
      <c r="M167" s="10" t="str">
        <f t="shared" si="5"/>
        <v>No</v>
      </c>
      <c r="R167" s="4" t="s">
        <v>795</v>
      </c>
      <c r="S167" s="2" t="s">
        <v>975</v>
      </c>
    </row>
    <row r="168" spans="1:21" ht="13.5" customHeight="1" x14ac:dyDescent="0.2">
      <c r="A168" s="10" t="s">
        <v>323</v>
      </c>
      <c r="B168" s="10"/>
      <c r="C168" s="10" t="str" cm="1">
        <f t="array" ref="C168">_xlfn.IFS(S168 = Modules!$A$2,Modules!$B$2,S168 = Modules!$A$3,Modules!$B$3,S168 = Modules!$A$4,Modules!$B$4,S168 = Modules!$A$5,Modules!$B$5,S168 = Modules!$A$6,Modules!$B$6,S168 = Modules!$A$7,Modules!$B$7,S168 = Modules!$A$8,Modules!$B$8,S168 = Modules!$A$9,Modules!$B$9,S168 = Modules!$A$10,Modules!$B$10,S168 = Modules!$A$11,Modules!$B$11,S168 = Modules!$A$12,Modules!$B$12, S168 = Modules!$A$13,Modules!$B$13)</f>
        <v>dem</v>
      </c>
      <c r="D168" s="10" t="s">
        <v>1152</v>
      </c>
      <c r="E168" s="10"/>
      <c r="F168" s="2" t="s">
        <v>1154</v>
      </c>
      <c r="G168" s="10" t="s">
        <v>1156</v>
      </c>
      <c r="H168" s="10"/>
      <c r="I168" s="10"/>
      <c r="J168" s="10" t="str">
        <f t="shared" si="4"/>
        <v>demFertRateTarget</v>
      </c>
      <c r="K168" s="2" t="s">
        <v>857</v>
      </c>
      <c r="L168" s="10" t="s">
        <v>1036</v>
      </c>
      <c r="M168" s="10" t="str">
        <f t="shared" si="5"/>
        <v>No</v>
      </c>
      <c r="R168" s="4" t="s">
        <v>795</v>
      </c>
      <c r="S168" s="2" t="s">
        <v>975</v>
      </c>
    </row>
    <row r="169" spans="1:21" ht="13.5" customHeight="1" x14ac:dyDescent="0.2">
      <c r="A169" s="10" t="s">
        <v>169</v>
      </c>
      <c r="B169" s="10"/>
      <c r="C169" s="10" t="str" cm="1">
        <f t="array" ref="C169">_xlfn.IFS(S169 = Modules!$A$2,Modules!$B$2,S169 = Modules!$A$3,Modules!$B$3,S169 = Modules!$A$4,Modules!$B$4,S169 = Modules!$A$5,Modules!$B$5,S169 = Modules!$A$6,Modules!$B$6,S169 = Modules!$A$7,Modules!$B$7,S169 = Modules!$A$8,Modules!$B$8,S169 = Modules!$A$9,Modules!$B$9,S169 = Modules!$A$10,Modules!$B$10,S169 = Modules!$A$11,Modules!$B$11,S169 = Modules!$A$12,Modules!$B$12, S169 = Modules!$A$13,Modules!$B$13)</f>
        <v>y</v>
      </c>
      <c r="D169" s="10" t="s">
        <v>1157</v>
      </c>
      <c r="E169" s="10"/>
      <c r="F169" s="10"/>
      <c r="G169" s="10"/>
      <c r="H169" s="10" t="s">
        <v>981</v>
      </c>
      <c r="I169" s="10"/>
      <c r="J169" s="10" t="str">
        <f t="shared" si="4"/>
        <v>yFinDstrssFlag</v>
      </c>
      <c r="K169" s="2" t="s">
        <v>703</v>
      </c>
      <c r="L169" s="10" t="s">
        <v>334</v>
      </c>
      <c r="M169" s="10" t="str">
        <f t="shared" si="5"/>
        <v>Yes</v>
      </c>
      <c r="N169" s="2" t="s">
        <v>702</v>
      </c>
      <c r="O169" s="2" t="s">
        <v>521</v>
      </c>
      <c r="S169" s="2" t="s">
        <v>480</v>
      </c>
    </row>
    <row r="170" spans="1:21" ht="13.5" customHeight="1" x14ac:dyDescent="0.2">
      <c r="A170" s="10" t="s">
        <v>241</v>
      </c>
      <c r="B170" s="10"/>
      <c r="C170" s="10" t="str" cm="1">
        <f t="array" ref="C170">_xlfn.IFS(S170 = Modules!$A$2,Modules!$B$2,S170 = Modules!$A$3,Modules!$B$3,S170 = Modules!$A$4,Modules!$B$4,S170 = Modules!$A$5,Modules!$B$5,S170 = Modules!$A$6,Modules!$B$6,S170 = Modules!$A$7,Modules!$B$7,S170 = Modules!$A$8,Modules!$B$8,S170 = Modules!$A$9,Modules!$B$9,S170 = Modules!$A$10,Modules!$B$10,S170 = Modules!$A$11,Modules!$B$11,S170 = Modules!$A$12,Modules!$B$12, S170 = Modules!$A$13,Modules!$B$13)</f>
        <v>y</v>
      </c>
      <c r="D170" s="10" t="s">
        <v>1157</v>
      </c>
      <c r="E170" s="10"/>
      <c r="F170" s="10"/>
      <c r="G170" s="10"/>
      <c r="H170" s="10" t="s">
        <v>981</v>
      </c>
      <c r="I170" s="10"/>
      <c r="J170" s="10" t="str">
        <f t="shared" si="4"/>
        <v>yFinDstrssFlag</v>
      </c>
      <c r="K170" s="2" t="s">
        <v>703</v>
      </c>
      <c r="L170" s="2" t="s">
        <v>334</v>
      </c>
      <c r="M170" s="10" t="str">
        <f t="shared" si="5"/>
        <v>No</v>
      </c>
      <c r="S170" s="2" t="s">
        <v>480</v>
      </c>
      <c r="U170" s="2" t="s">
        <v>769</v>
      </c>
    </row>
    <row r="171" spans="1:21" ht="13.5" customHeight="1" x14ac:dyDescent="0.2">
      <c r="A171" s="10" t="s">
        <v>153</v>
      </c>
      <c r="B171" s="10"/>
      <c r="C171" s="10" t="str" cm="1">
        <f t="array" ref="C171">_xlfn.IFS(S171 = Modules!$A$2,Modules!$B$2,S171 = Modules!$A$3,Modules!$B$3,S171 = Modules!$A$4,Modules!$B$4,S171 = Modules!$A$5,Modules!$B$5,S171 = Modules!$A$6,Modules!$B$6,S171 = Modules!$A$7,Modules!$B$7,S171 = Modules!$A$8,Modules!$B$8,S171 = Modules!$A$9,Modules!$B$9,S171 = Modules!$A$10,Modules!$B$10,S171 = Modules!$A$11,Modules!$B$11,S171 = Modules!$A$12,Modules!$B$12, S171 = Modules!$A$13,Modules!$B$13)</f>
        <v>care</v>
      </c>
      <c r="D171" s="2" t="s">
        <v>1071</v>
      </c>
      <c r="E171" s="10"/>
      <c r="F171" s="10"/>
      <c r="G171" s="10" t="s">
        <v>1072</v>
      </c>
      <c r="H171" s="10"/>
      <c r="I171" s="10"/>
      <c r="J171" s="10" t="str">
        <f t="shared" si="4"/>
        <v>careCareFormal</v>
      </c>
      <c r="K171" s="2" t="s">
        <v>687</v>
      </c>
      <c r="L171" s="8" t="s">
        <v>334</v>
      </c>
      <c r="M171" s="10" t="str">
        <f t="shared" si="5"/>
        <v>Yes</v>
      </c>
      <c r="N171" s="2" t="s">
        <v>681</v>
      </c>
      <c r="O171" s="2" t="s">
        <v>679</v>
      </c>
      <c r="S171" s="2" t="s">
        <v>971</v>
      </c>
      <c r="U171" s="2" t="s">
        <v>688</v>
      </c>
    </row>
    <row r="172" spans="1:21" ht="13.5" customHeight="1" x14ac:dyDescent="0.2">
      <c r="A172" s="2" t="s">
        <v>148</v>
      </c>
      <c r="C172" s="10" t="str" cm="1">
        <f t="array" ref="C172">_xlfn.IFS(S172 = Modules!$A$2,Modules!$B$2,S172 = Modules!$A$3,Modules!$B$3,S172 = Modules!$A$4,Modules!$B$4,S172 = Modules!$A$5,Modules!$B$5,S172 = Modules!$A$6,Modules!$B$6,S172 = Modules!$A$7,Modules!$B$7,S172 = Modules!$A$8,Modules!$B$8,S172 = Modules!$A$9,Modules!$B$9,S172 = Modules!$A$10,Modules!$B$10,S172 = Modules!$A$11,Modules!$B$11,S172 = Modules!$A$12,Modules!$B$12, S172 = Modules!$A$13,Modules!$B$13)</f>
        <v>care</v>
      </c>
      <c r="D172" s="2" t="s">
        <v>1060</v>
      </c>
      <c r="G172" s="2" t="s">
        <v>1072</v>
      </c>
      <c r="J172" s="10" t="str">
        <f t="shared" si="4"/>
        <v>careHrsFormal</v>
      </c>
      <c r="K172" s="2" t="s">
        <v>682</v>
      </c>
      <c r="L172" s="8" t="s">
        <v>334</v>
      </c>
      <c r="M172" s="10" t="str">
        <f t="shared" si="5"/>
        <v>Yes</v>
      </c>
      <c r="N172" s="2" t="s">
        <v>681</v>
      </c>
      <c r="O172" s="2" t="s">
        <v>679</v>
      </c>
      <c r="S172" s="2" t="s">
        <v>971</v>
      </c>
    </row>
    <row r="173" spans="1:21" ht="13.5" customHeight="1" x14ac:dyDescent="0.2">
      <c r="A173" s="2" t="s">
        <v>242</v>
      </c>
      <c r="C173" s="10" t="str" cm="1">
        <f t="array" ref="C173">_xlfn.IFS(S173 = Modules!$A$2,Modules!$B$2,S173 = Modules!$A$3,Modules!$B$3,S173 = Modules!$A$4,Modules!$B$4,S173 = Modules!$A$5,Modules!$B$5,S173 = Modules!$A$6,Modules!$B$6,S173 = Modules!$A$7,Modules!$B$7,S173 = Modules!$A$8,Modules!$B$8,S173 = Modules!$A$9,Modules!$B$9,S173 = Modules!$A$10,Modules!$B$10,S173 = Modules!$A$11,Modules!$B$11,S173 = Modules!$A$12,Modules!$B$12, S173 = Modules!$A$13,Modules!$B$13)</f>
        <v>lab</v>
      </c>
      <c r="D173" s="2" t="s">
        <v>1098</v>
      </c>
      <c r="G173" s="2" t="s">
        <v>1158</v>
      </c>
      <c r="I173" s="2" t="s">
        <v>1159</v>
      </c>
      <c r="J173" s="10" t="str">
        <f t="shared" si="4"/>
        <v>labWageFullTimeHrly</v>
      </c>
      <c r="K173" s="2" t="s">
        <v>672</v>
      </c>
      <c r="L173" s="10" t="s">
        <v>334</v>
      </c>
      <c r="M173" s="10" t="str">
        <f t="shared" si="5"/>
        <v>No</v>
      </c>
      <c r="S173" s="2" t="s">
        <v>475</v>
      </c>
      <c r="U173" s="2" t="s">
        <v>770</v>
      </c>
    </row>
    <row r="174" spans="1:21" ht="13.5" customHeight="1" x14ac:dyDescent="0.2">
      <c r="A174" s="2" t="s">
        <v>224</v>
      </c>
      <c r="C174" s="10" t="str" cm="1">
        <f t="array" ref="C174">_xlfn.IFS(S174 = Modules!$A$2,Modules!$B$2,S174 = Modules!$A$3,Modules!$B$3,S174 = Modules!$A$4,Modules!$B$4,S174 = Modules!$A$5,Modules!$B$5,S174 = Modules!$A$6,Modules!$B$6,S174 = Modules!$A$7,Modules!$B$7,S174 = Modules!$A$8,Modules!$B$8,S174 = Modules!$A$9,Modules!$B$9,S174 = Modules!$A$10,Modules!$B$10,S174 = Modules!$A$11,Modules!$B$11,S174 = Modules!$A$12,Modules!$B$12, S174 = Modules!$A$13,Modules!$B$13)</f>
        <v>dem</v>
      </c>
      <c r="D174" s="2" t="s">
        <v>1100</v>
      </c>
      <c r="J174" s="10" t="str">
        <f t="shared" si="4"/>
        <v>demSex</v>
      </c>
      <c r="K174" s="2" t="s">
        <v>746</v>
      </c>
      <c r="L174" s="10" t="s">
        <v>1034</v>
      </c>
      <c r="M174" s="10" t="str">
        <f t="shared" si="5"/>
        <v>No</v>
      </c>
      <c r="R174" s="4" t="s">
        <v>605</v>
      </c>
      <c r="S174" s="2" t="s">
        <v>975</v>
      </c>
    </row>
    <row r="175" spans="1:21" ht="13.5" customHeight="1" x14ac:dyDescent="0.2">
      <c r="A175" s="4" t="s">
        <v>259</v>
      </c>
      <c r="B175" s="4"/>
      <c r="C175" s="10" t="str" cm="1">
        <f t="array" ref="C175">_xlfn.IFS(S175 = Modules!$A$2,Modules!$B$2,S175 = Modules!$A$3,Modules!$B$3,S175 = Modules!$A$4,Modules!$B$4,S175 = Modules!$A$5,Modules!$B$5,S175 = Modules!$A$6,Modules!$B$6,S175 = Modules!$A$7,Modules!$B$7,S175 = Modules!$A$8,Modules!$B$8,S175 = Modules!$A$9,Modules!$B$9,S175 = Modules!$A$10,Modules!$B$10,S175 = Modules!$A$11,Modules!$B$11,S175 = Modules!$A$12,Modules!$B$12, S175 = Modules!$A$13,Modules!$B$13)</f>
        <v>stat</v>
      </c>
      <c r="D175" s="4" t="s">
        <v>1160</v>
      </c>
      <c r="E175" s="4" t="s">
        <v>1116</v>
      </c>
      <c r="F175" s="4" t="s">
        <v>1150</v>
      </c>
      <c r="G175" s="4" t="s">
        <v>1161</v>
      </c>
      <c r="H175" s="4" t="s">
        <v>1162</v>
      </c>
      <c r="I175" s="4"/>
      <c r="J175" s="10" t="str">
        <f t="shared" si="4"/>
        <v>statYHhDispEquivNatGini</v>
      </c>
      <c r="K175" s="2" t="s">
        <v>1240</v>
      </c>
      <c r="L175" s="10" t="s">
        <v>1037</v>
      </c>
      <c r="M175" s="10" t="str">
        <f t="shared" si="5"/>
        <v>No</v>
      </c>
      <c r="R175" s="4" t="s">
        <v>704</v>
      </c>
      <c r="S175" s="2" t="s">
        <v>973</v>
      </c>
    </row>
    <row r="176" spans="1:21" ht="13.5" customHeight="1" x14ac:dyDescent="0.2">
      <c r="A176" s="10" t="s">
        <v>260</v>
      </c>
      <c r="B176" s="10"/>
      <c r="C176" s="10" t="str" cm="1">
        <f t="array" ref="C176">_xlfn.IFS(S176 = Modules!$A$2,Modules!$B$2,S176 = Modules!$A$3,Modules!$B$3,S176 = Modules!$A$4,Modules!$B$4,S176 = Modules!$A$5,Modules!$B$5,S176 = Modules!$A$6,Modules!$B$6,S176 = Modules!$A$7,Modules!$B$7,S176 = Modules!$A$8,Modules!$B$8,S176 = Modules!$A$9,Modules!$B$9,S176 = Modules!$A$10,Modules!$B$10,S176 = Modules!$A$11,Modules!$B$11,S176 = Modules!$A$12,Modules!$B$12, S176 = Modules!$A$13,Modules!$B$13)</f>
        <v>stat</v>
      </c>
      <c r="D176" s="2" t="s">
        <v>1160</v>
      </c>
      <c r="E176" s="10"/>
      <c r="F176" s="10"/>
      <c r="G176" s="2" t="s">
        <v>1165</v>
      </c>
      <c r="H176" s="10" t="s">
        <v>1162</v>
      </c>
      <c r="I176" s="10"/>
      <c r="J176" s="10" t="str">
        <f t="shared" si="4"/>
        <v>statYMktNatGini</v>
      </c>
      <c r="K176" s="2" t="s">
        <v>1241</v>
      </c>
      <c r="L176" s="10" t="s">
        <v>1037</v>
      </c>
      <c r="M176" s="10" t="str">
        <f t="shared" si="5"/>
        <v>No</v>
      </c>
      <c r="R176" s="4" t="s">
        <v>704</v>
      </c>
      <c r="S176" s="2" t="s">
        <v>973</v>
      </c>
    </row>
    <row r="177" spans="1:21" ht="13.5" customHeight="1" x14ac:dyDescent="0.2">
      <c r="A177" s="10" t="s">
        <v>181</v>
      </c>
      <c r="B177" s="10"/>
      <c r="C177" s="10" t="str" cm="1">
        <f t="array" ref="C177">_xlfn.IFS(S177 = Modules!$A$2,Modules!$B$2,S177 = Modules!$A$3,Modules!$B$3,S177 = Modules!$A$4,Modules!$B$4,S177 = Modules!$A$5,Modules!$B$5,S177 = Modules!$A$6,Modules!$B$6,S177 = Modules!$A$7,Modules!$B$7,S177 = Modules!$A$8,Modules!$B$8,S177 = Modules!$A$9,Modules!$B$9,S177 = Modules!$A$10,Modules!$B$10,S177 = Modules!$A$11,Modules!$B$11,S177 = Modules!$A$12,Modules!$B$12, S177 = Modules!$A$13,Modules!$B$13)</f>
        <v>y</v>
      </c>
      <c r="D177" s="10"/>
      <c r="E177" s="10"/>
      <c r="F177" s="10" t="s">
        <v>580</v>
      </c>
      <c r="G177" s="10"/>
      <c r="H177" s="10"/>
      <c r="I177" s="10" t="s">
        <v>1069</v>
      </c>
      <c r="J177" s="10" t="str">
        <f t="shared" si="4"/>
        <v>yGrossMonth</v>
      </c>
      <c r="K177" s="2" t="s">
        <v>718</v>
      </c>
      <c r="L177" s="2" t="s">
        <v>451</v>
      </c>
      <c r="M177" s="10" t="str">
        <f t="shared" si="5"/>
        <v>No</v>
      </c>
      <c r="S177" s="2" t="s">
        <v>480</v>
      </c>
    </row>
    <row r="178" spans="1:21" ht="13.5" customHeight="1" x14ac:dyDescent="0.2">
      <c r="A178" s="10" t="s">
        <v>261</v>
      </c>
      <c r="B178" s="10"/>
      <c r="C178" s="10" t="str" cm="1">
        <f t="array" ref="C178">_xlfn.IFS(S178 = Modules!$A$2,Modules!$B$2,S178 = Modules!$A$3,Modules!$B$3,S178 = Modules!$A$4,Modules!$B$4,S178 = Modules!$A$5,Modules!$B$5,S178 = Modules!$A$6,Modules!$B$6,S178 = Modules!$A$7,Modules!$B$7,S178 = Modules!$A$8,Modules!$B$8,S178 = Modules!$A$9,Modules!$B$9,S178 = Modules!$A$10,Modules!$B$10,S178 = Modules!$A$11,Modules!$B$11,S178 = Modules!$A$12,Modules!$B$12, S178 = Modules!$A$13,Modules!$B$13)</f>
        <v>y</v>
      </c>
      <c r="D178" s="2" t="s">
        <v>1168</v>
      </c>
      <c r="E178" s="10"/>
      <c r="F178" s="10"/>
      <c r="G178" s="10"/>
      <c r="H178" s="10" t="s">
        <v>1169</v>
      </c>
      <c r="I178" s="10"/>
      <c r="J178" s="10" t="str">
        <f t="shared" si="4"/>
        <v>yLabP20</v>
      </c>
      <c r="K178" s="6" t="s">
        <v>796</v>
      </c>
      <c r="L178" s="10" t="s">
        <v>1037</v>
      </c>
      <c r="M178" s="10" t="str">
        <f t="shared" si="5"/>
        <v>No</v>
      </c>
      <c r="R178" s="4" t="s">
        <v>704</v>
      </c>
      <c r="S178" s="2" t="s">
        <v>480</v>
      </c>
    </row>
    <row r="179" spans="1:21" ht="13.5" customHeight="1" x14ac:dyDescent="0.2">
      <c r="A179" s="10" t="s">
        <v>262</v>
      </c>
      <c r="B179" s="10"/>
      <c r="C179" s="10" t="str" cm="1">
        <f t="array" ref="C179">_xlfn.IFS(S179 = Modules!$A$2,Modules!$B$2,S179 = Modules!$A$3,Modules!$B$3,S179 = Modules!$A$4,Modules!$B$4,S179 = Modules!$A$5,Modules!$B$5,S179 = Modules!$A$6,Modules!$B$6,S179 = Modules!$A$7,Modules!$B$7,S179 = Modules!$A$8,Modules!$B$8,S179 = Modules!$A$9,Modules!$B$9,S179 = Modules!$A$10,Modules!$B$10,S179 = Modules!$A$11,Modules!$B$11,S179 = Modules!$A$12,Modules!$B$12, S179 = Modules!$A$13,Modules!$B$13)</f>
        <v>y</v>
      </c>
      <c r="D179" s="2" t="s">
        <v>1168</v>
      </c>
      <c r="E179" s="10"/>
      <c r="F179" s="10"/>
      <c r="G179" s="10"/>
      <c r="H179" s="10" t="s">
        <v>1170</v>
      </c>
      <c r="I179" s="10"/>
      <c r="J179" s="10" t="str">
        <f t="shared" si="4"/>
        <v>yLabP40</v>
      </c>
      <c r="K179" s="6" t="s">
        <v>797</v>
      </c>
      <c r="L179" s="10" t="s">
        <v>1037</v>
      </c>
      <c r="M179" s="10" t="str">
        <f t="shared" si="5"/>
        <v>No</v>
      </c>
      <c r="R179" s="4" t="s">
        <v>704</v>
      </c>
      <c r="S179" s="2" t="s">
        <v>480</v>
      </c>
    </row>
    <row r="180" spans="1:21" ht="13.5" customHeight="1" x14ac:dyDescent="0.2">
      <c r="A180" s="10" t="s">
        <v>263</v>
      </c>
      <c r="B180" s="10"/>
      <c r="C180" s="10" t="str" cm="1">
        <f t="array" ref="C180">_xlfn.IFS(S180 = Modules!$A$2,Modules!$B$2,S180 = Modules!$A$3,Modules!$B$3,S180 = Modules!$A$4,Modules!$B$4,S180 = Modules!$A$5,Modules!$B$5,S180 = Modules!$A$6,Modules!$B$6,S180 = Modules!$A$7,Modules!$B$7,S180 = Modules!$A$8,Modules!$B$8,S180 = Modules!$A$9,Modules!$B$9,S180 = Modules!$A$10,Modules!$B$10,S180 = Modules!$A$11,Modules!$B$11,S180 = Modules!$A$12,Modules!$B$12, S180 = Modules!$A$13,Modules!$B$13)</f>
        <v>y</v>
      </c>
      <c r="D180" s="2" t="s">
        <v>1168</v>
      </c>
      <c r="E180" s="10"/>
      <c r="F180" s="10"/>
      <c r="G180" s="10"/>
      <c r="H180" s="10" t="s">
        <v>1171</v>
      </c>
      <c r="I180" s="10"/>
      <c r="J180" s="10" t="str">
        <f t="shared" si="4"/>
        <v>yLabP60</v>
      </c>
      <c r="K180" s="6" t="s">
        <v>798</v>
      </c>
      <c r="L180" s="10" t="s">
        <v>1037</v>
      </c>
      <c r="M180" s="10" t="str">
        <f t="shared" si="5"/>
        <v>No</v>
      </c>
      <c r="R180" s="4" t="s">
        <v>704</v>
      </c>
      <c r="S180" s="2" t="s">
        <v>480</v>
      </c>
    </row>
    <row r="181" spans="1:21" ht="13.5" customHeight="1" x14ac:dyDescent="0.2">
      <c r="A181" s="10" t="s">
        <v>264</v>
      </c>
      <c r="B181" s="10"/>
      <c r="C181" s="10" t="str" cm="1">
        <f t="array" ref="C181">_xlfn.IFS(S181 = Modules!$A$2,Modules!$B$2,S181 = Modules!$A$3,Modules!$B$3,S181 = Modules!$A$4,Modules!$B$4,S181 = Modules!$A$5,Modules!$B$5,S181 = Modules!$A$6,Modules!$B$6,S181 = Modules!$A$7,Modules!$B$7,S181 = Modules!$A$8,Modules!$B$8,S181 = Modules!$A$9,Modules!$B$9,S181 = Modules!$A$10,Modules!$B$10,S181 = Modules!$A$11,Modules!$B$11,S181 = Modules!$A$12,Modules!$B$12, S181 = Modules!$A$13,Modules!$B$13)</f>
        <v>y</v>
      </c>
      <c r="D181" s="2" t="s">
        <v>1168</v>
      </c>
      <c r="E181" s="10"/>
      <c r="F181" s="10"/>
      <c r="G181" s="10"/>
      <c r="H181" s="10" t="s">
        <v>1172</v>
      </c>
      <c r="I181" s="10"/>
      <c r="J181" s="10" t="str">
        <f t="shared" si="4"/>
        <v>yLabP80</v>
      </c>
      <c r="K181" s="6" t="s">
        <v>799</v>
      </c>
      <c r="L181" s="10" t="s">
        <v>1037</v>
      </c>
      <c r="M181" s="10" t="str">
        <f t="shared" si="5"/>
        <v>No</v>
      </c>
      <c r="R181" s="4" t="s">
        <v>704</v>
      </c>
      <c r="S181" s="2" t="s">
        <v>480</v>
      </c>
    </row>
    <row r="182" spans="1:21" ht="13.5" customHeight="1" x14ac:dyDescent="0.2">
      <c r="A182" s="2" t="s">
        <v>365</v>
      </c>
      <c r="C182" s="10" t="str" cm="1">
        <f t="array" ref="C182">_xlfn.IFS(S182 = Modules!$A$2,Modules!$B$2,S182 = Modules!$A$3,Modules!$B$3,S182 = Modules!$A$4,Modules!$B$4,S182 = Modules!$A$5,Modules!$B$5,S182 = Modules!$A$6,Modules!$B$6,S182 = Modules!$A$7,Modules!$B$7,S182 = Modules!$A$8,Modules!$B$8,S182 = Modules!$A$9,Modules!$B$9,S182 = Modules!$A$10,Modules!$B$10,S182 = Modules!$A$11,Modules!$B$11,S182 = Modules!$A$12,Modules!$B$12, S182 = Modules!$A$13,Modules!$B$13)</f>
        <v>dem</v>
      </c>
      <c r="D182" s="2" t="s">
        <v>1399</v>
      </c>
      <c r="E182" s="2" t="s">
        <v>1087</v>
      </c>
      <c r="G182" s="2" t="s">
        <v>1403</v>
      </c>
      <c r="J182" s="10" t="str">
        <f t="shared" si="4"/>
        <v>demAlignPartnerProcess</v>
      </c>
      <c r="K182" s="2" t="s">
        <v>1402</v>
      </c>
      <c r="L182" s="2" t="s">
        <v>334</v>
      </c>
      <c r="M182" s="10" t="str">
        <f t="shared" si="5"/>
        <v>No</v>
      </c>
      <c r="S182" s="2" t="s">
        <v>975</v>
      </c>
    </row>
    <row r="183" spans="1:21" ht="13.5" customHeight="1" x14ac:dyDescent="0.2">
      <c r="A183" s="10" t="s">
        <v>243</v>
      </c>
      <c r="B183" s="10"/>
      <c r="C183" s="10" t="str" cm="1">
        <f t="array" ref="C183">_xlfn.IFS(S183 = Modules!$A$2,Modules!$B$2,S183 = Modules!$A$3,Modules!$B$3,S183 = Modules!$A$4,Modules!$B$4,S183 = Modules!$A$5,Modules!$B$5,S183 = Modules!$A$6,Modules!$B$6,S183 = Modules!$A$7,Modules!$B$7,S183 = Modules!$A$8,Modules!$B$8,S183 = Modules!$A$9,Modules!$B$9,S183 = Modules!$A$10,Modules!$B$10,S183 = Modules!$A$11,Modules!$B$11,S183 = Modules!$A$12,Modules!$B$12, S183 = Modules!$A$13,Modules!$B$13)</f>
        <v>dem</v>
      </c>
      <c r="D183" s="2" t="s">
        <v>1136</v>
      </c>
      <c r="E183" s="10"/>
      <c r="F183" s="10"/>
      <c r="G183" s="10"/>
      <c r="H183" s="10" t="s">
        <v>1173</v>
      </c>
      <c r="I183" s="10"/>
      <c r="J183" s="10" t="str">
        <f t="shared" si="4"/>
        <v>demLifeSatEQ5D</v>
      </c>
      <c r="K183" s="2" t="s">
        <v>771</v>
      </c>
      <c r="L183" s="10" t="s">
        <v>334</v>
      </c>
      <c r="M183" s="10" t="str">
        <f t="shared" si="5"/>
        <v>No</v>
      </c>
      <c r="S183" s="2" t="s">
        <v>975</v>
      </c>
      <c r="U183" s="2" t="s">
        <v>772</v>
      </c>
    </row>
    <row r="184" spans="1:21" ht="13.5" customHeight="1" x14ac:dyDescent="0.2">
      <c r="A184" s="10" t="s">
        <v>293</v>
      </c>
      <c r="B184" s="10"/>
      <c r="C184" s="10" t="str" cm="1">
        <f t="array" ref="C184">_xlfn.IFS(S184 = Modules!$A$2,Modules!$B$2,S184 = Modules!$A$3,Modules!$B$3,S184 = Modules!$A$4,Modules!$B$4,S184 = Modules!$A$5,Modules!$B$5,S184 = Modules!$A$6,Modules!$B$6,S184 = Modules!$A$7,Modules!$B$7,S184 = Modules!$A$8,Modules!$B$8,S184 = Modules!$A$9,Modules!$B$9,S184 = Modules!$A$10,Modules!$B$10,S184 = Modules!$A$11,Modules!$B$11,S184 = Modules!$A$12,Modules!$B$12, S184 = Modules!$A$13,Modules!$B$13)</f>
        <v>health</v>
      </c>
      <c r="D184" s="10"/>
      <c r="E184" s="10"/>
      <c r="F184" s="10" t="s">
        <v>1123</v>
      </c>
      <c r="G184" s="10" t="s">
        <v>1050</v>
      </c>
      <c r="H184" s="10" t="s">
        <v>1057</v>
      </c>
      <c r="I184" s="10"/>
      <c r="J184" s="10" t="str">
        <f t="shared" si="4"/>
        <v>healthScore18to29Avg</v>
      </c>
      <c r="K184" s="6" t="s">
        <v>828</v>
      </c>
      <c r="L184" s="10" t="s">
        <v>1032</v>
      </c>
      <c r="M184" s="10" t="str">
        <f t="shared" si="5"/>
        <v>No</v>
      </c>
      <c r="R184" s="4" t="s">
        <v>827</v>
      </c>
      <c r="S184" s="2" t="s">
        <v>531</v>
      </c>
    </row>
    <row r="185" spans="1:21" ht="13.5" customHeight="1" x14ac:dyDescent="0.2">
      <c r="A185" s="10" t="s">
        <v>294</v>
      </c>
      <c r="B185" s="10"/>
      <c r="C185" s="10" t="str" cm="1">
        <f t="array" ref="C185">_xlfn.IFS(S185 = Modules!$A$2,Modules!$B$2,S185 = Modules!$A$3,Modules!$B$3,S185 = Modules!$A$4,Modules!$B$4,S185 = Modules!$A$5,Modules!$B$5,S185 = Modules!$A$6,Modules!$B$6,S185 = Modules!$A$7,Modules!$B$7,S185 = Modules!$A$8,Modules!$B$8,S185 = Modules!$A$9,Modules!$B$9,S185 = Modules!$A$10,Modules!$B$10,S185 = Modules!$A$11,Modules!$B$11,S185 = Modules!$A$12,Modules!$B$12, S185 = Modules!$A$13,Modules!$B$13)</f>
        <v>health</v>
      </c>
      <c r="D185" s="10"/>
      <c r="E185" s="10"/>
      <c r="F185" s="10" t="s">
        <v>1123</v>
      </c>
      <c r="G185" s="10" t="s">
        <v>1051</v>
      </c>
      <c r="H185" s="10" t="s">
        <v>1057</v>
      </c>
      <c r="I185" s="10"/>
      <c r="J185" s="10" t="str">
        <f t="shared" si="4"/>
        <v>healthScore30to54Avg</v>
      </c>
      <c r="K185" s="6" t="s">
        <v>829</v>
      </c>
      <c r="L185" s="10" t="s">
        <v>1032</v>
      </c>
      <c r="M185" s="10" t="str">
        <f t="shared" si="5"/>
        <v>No</v>
      </c>
      <c r="R185" s="4" t="s">
        <v>827</v>
      </c>
      <c r="S185" s="2" t="s">
        <v>531</v>
      </c>
    </row>
    <row r="186" spans="1:21" ht="13.5" customHeight="1" x14ac:dyDescent="0.2">
      <c r="A186" s="10" t="s">
        <v>295</v>
      </c>
      <c r="B186" s="10"/>
      <c r="C186" s="10" t="str" cm="1">
        <f t="array" ref="C186">_xlfn.IFS(S186 = Modules!$A$2,Modules!$B$2,S186 = Modules!$A$3,Modules!$B$3,S186 = Modules!$A$4,Modules!$B$4,S186 = Modules!$A$5,Modules!$B$5,S186 = Modules!$A$6,Modules!$B$6,S186 = Modules!$A$7,Modules!$B$7,S186 = Modules!$A$8,Modules!$B$8,S186 = Modules!$A$9,Modules!$B$9,S186 = Modules!$A$10,Modules!$B$10,S186 = Modules!$A$11,Modules!$B$11,S186 = Modules!$A$12,Modules!$B$12, S186 = Modules!$A$13,Modules!$B$13)</f>
        <v>health</v>
      </c>
      <c r="D186" s="10"/>
      <c r="E186" s="10"/>
      <c r="F186" s="10" t="s">
        <v>1123</v>
      </c>
      <c r="G186" s="10" t="s">
        <v>1052</v>
      </c>
      <c r="H186" s="10" t="s">
        <v>1057</v>
      </c>
      <c r="I186" s="10"/>
      <c r="J186" s="10" t="str">
        <f t="shared" si="4"/>
        <v>healthScore55to74Avg</v>
      </c>
      <c r="K186" s="6" t="s">
        <v>830</v>
      </c>
      <c r="L186" s="10" t="s">
        <v>1032</v>
      </c>
      <c r="M186" s="10" t="str">
        <f t="shared" si="5"/>
        <v>No</v>
      </c>
      <c r="R186" s="4" t="s">
        <v>827</v>
      </c>
      <c r="S186" s="2" t="s">
        <v>531</v>
      </c>
    </row>
    <row r="187" spans="1:21" ht="13.5" customHeight="1" x14ac:dyDescent="0.2">
      <c r="A187" s="2" t="s">
        <v>383</v>
      </c>
      <c r="C187" s="10" t="str" cm="1">
        <f t="array" ref="C187">_xlfn.IFS(S187 = Modules!$A$2,Modules!$B$2,S187 = Modules!$A$3,Modules!$B$3,S187 = Modules!$A$4,Modules!$B$4,S187 = Modules!$A$5,Modules!$B$5,S187 = Modules!$A$6,Modules!$B$6,S187 = Modules!$A$7,Modules!$B$7,S187 = Modules!$A$8,Modules!$B$8,S187 = Modules!$A$9,Modules!$B$9,S187 = Modules!$A$10,Modules!$B$10,S187 = Modules!$A$11,Modules!$B$11,S187 = Modules!$A$12,Modules!$B$12, S187 = Modules!$A$13,Modules!$B$13)</f>
        <v>lab</v>
      </c>
      <c r="D187" s="2" t="s">
        <v>1174</v>
      </c>
      <c r="I187" s="2" t="s">
        <v>1015</v>
      </c>
      <c r="J187" s="10" t="str">
        <f t="shared" si="4"/>
        <v>labHrsWorkWeek</v>
      </c>
      <c r="K187" s="2" t="s">
        <v>873</v>
      </c>
      <c r="L187" s="2" t="s">
        <v>334</v>
      </c>
      <c r="M187" s="10" t="str">
        <f t="shared" si="5"/>
        <v>No</v>
      </c>
      <c r="S187" s="2" t="s">
        <v>475</v>
      </c>
      <c r="U187" s="2" t="s">
        <v>774</v>
      </c>
    </row>
    <row r="188" spans="1:21" ht="16" x14ac:dyDescent="0.2">
      <c r="A188" s="2" t="s">
        <v>362</v>
      </c>
      <c r="C188" s="10" t="str" cm="1">
        <f t="array" ref="C188">_xlfn.IFS(S188 = Modules!$A$2,Modules!$B$2,S188 = Modules!$A$3,Modules!$B$3,S188 = Modules!$A$4,Modules!$B$4,S188 = Modules!$A$5,Modules!$B$5,S188 = Modules!$A$6,Modules!$B$6,S188 = Modules!$A$7,Modules!$B$7,S188 = Modules!$A$8,Modules!$B$8,S188 = Modules!$A$9,Modules!$B$9,S188 = Modules!$A$10,Modules!$B$10,S188 = Modules!$A$11,Modules!$B$11,S188 = Modules!$A$12,Modules!$B$12, S188 = Modules!$A$13,Modules!$B$13)</f>
        <v>dem</v>
      </c>
      <c r="D188" s="2" t="s">
        <v>533</v>
      </c>
      <c r="E188" s="2" t="s">
        <v>1116</v>
      </c>
      <c r="I188" s="2" t="s">
        <v>1063</v>
      </c>
      <c r="J188" s="10" t="str">
        <f t="shared" si="4"/>
        <v>demStatusHhL1</v>
      </c>
      <c r="K188" s="2" t="s">
        <v>872</v>
      </c>
      <c r="L188" s="2" t="s">
        <v>334</v>
      </c>
      <c r="M188" s="10" t="str">
        <f t="shared" si="5"/>
        <v>No</v>
      </c>
      <c r="S188" s="2" t="s">
        <v>975</v>
      </c>
    </row>
    <row r="189" spans="1:21" ht="13.5" customHeight="1" x14ac:dyDescent="0.2">
      <c r="A189" s="2" t="s">
        <v>1451</v>
      </c>
      <c r="C189" s="10" t="str" cm="1">
        <f t="array" ref="C189">_xlfn.IFS(S189 = Modules!$A$2,Modules!$B$2,S189 = Modules!$A$3,Modules!$B$3,S189 = Modules!$A$4,Modules!$B$4,S189 = Modules!$A$5,Modules!$B$5,S189 = Modules!$A$6,Modules!$B$6,S189 = Modules!$A$7,Modules!$B$7,S189 = Modules!$A$8,Modules!$B$8,S189 = Modules!$A$9,Modules!$B$9,S189 = Modules!$A$10,Modules!$B$10,S189 = Modules!$A$11,Modules!$B$11,S189 = Modules!$A$12,Modules!$B$12, S189 = Modules!$A$13,Modules!$B$13)</f>
        <v>wealth</v>
      </c>
      <c r="D189" s="2" t="s">
        <v>1112</v>
      </c>
      <c r="F189" s="2" t="s">
        <v>1175</v>
      </c>
      <c r="J189" s="10" t="str">
        <f t="shared" si="4"/>
        <v>wealthPrptyValue</v>
      </c>
      <c r="K189" s="2" t="s">
        <v>1452</v>
      </c>
      <c r="L189" s="8" t="s">
        <v>451</v>
      </c>
      <c r="M189" s="10" t="str">
        <f t="shared" si="5"/>
        <v>Yes</v>
      </c>
      <c r="N189" s="2" t="s">
        <v>1453</v>
      </c>
      <c r="O189" s="2" t="s">
        <v>642</v>
      </c>
      <c r="S189" s="2" t="s">
        <v>478</v>
      </c>
    </row>
    <row r="190" spans="1:21" ht="13.5" customHeight="1" x14ac:dyDescent="0.2">
      <c r="A190" s="2" t="s">
        <v>432</v>
      </c>
      <c r="C190" s="10" t="str" cm="1">
        <f t="array" ref="C190">_xlfn.IFS(S190 = Modules!$A$2,Modules!$B$2,S190 = Modules!$A$3,Modules!$B$3,S190 = Modules!$A$4,Modules!$B$4,S190 = Modules!$A$5,Modules!$B$5,S190 = Modules!$A$6,Modules!$B$6,S190 = Modules!$A$7,Modules!$B$7,S190 = Modules!$A$8,Modules!$B$8,S190 = Modules!$A$9,Modules!$B$9,S190 = Modules!$A$10,Modules!$B$10,S190 = Modules!$A$11,Modules!$B$11,S190 = Modules!$A$12,Modules!$B$12, S190 = Modules!$A$13,Modules!$B$13)</f>
        <v>wealth</v>
      </c>
      <c r="D190" s="2" t="s">
        <v>1112</v>
      </c>
      <c r="F190" s="2" t="s">
        <v>1175</v>
      </c>
      <c r="J190" s="10" t="str">
        <f t="shared" si="4"/>
        <v>wealthPrptyValue</v>
      </c>
      <c r="K190" s="2" t="s">
        <v>900</v>
      </c>
      <c r="L190" s="2" t="s">
        <v>451</v>
      </c>
      <c r="M190" s="10" t="str">
        <f t="shared" si="5"/>
        <v>No</v>
      </c>
      <c r="S190" s="2" t="s">
        <v>478</v>
      </c>
      <c r="U190" s="2" t="s">
        <v>1454</v>
      </c>
    </row>
    <row r="191" spans="1:21" ht="13.5" customHeight="1" x14ac:dyDescent="0.2">
      <c r="A191" s="2" t="s">
        <v>173</v>
      </c>
      <c r="C191" s="10" t="str" cm="1">
        <f t="array" ref="C191">_xlfn.IFS(S191 = Modules!$A$2,Modules!$B$2,S191 = Modules!$A$3,Modules!$B$3,S191 = Modules!$A$4,Modules!$B$4,S191 = Modules!$A$5,Modules!$B$5,S191 = Modules!$A$6,Modules!$B$6,S191 = Modules!$A$7,Modules!$B$7,S191 = Modules!$A$8,Modules!$B$8,S191 = Modules!$A$9,Modules!$B$9,S191 = Modules!$A$10,Modules!$B$10,S191 = Modules!$A$11,Modules!$B$11,S191 = Modules!$A$12,Modules!$B$12, S191 = Modules!$A$13,Modules!$B$13)</f>
        <v>id</v>
      </c>
      <c r="D191" s="2" t="s">
        <v>1176</v>
      </c>
      <c r="J191" s="10" t="str">
        <f t="shared" si="4"/>
        <v>idBu</v>
      </c>
      <c r="K191" s="2" t="s">
        <v>482</v>
      </c>
      <c r="L191" s="10"/>
      <c r="M191" s="10" t="str">
        <f t="shared" si="5"/>
        <v>No</v>
      </c>
      <c r="R191" s="4" t="s">
        <v>744</v>
      </c>
      <c r="S191" s="2" t="s">
        <v>457</v>
      </c>
    </row>
    <row r="192" spans="1:21" ht="13.5" customHeight="1" x14ac:dyDescent="0.2">
      <c r="A192" s="10" t="s">
        <v>193</v>
      </c>
      <c r="B192" s="10"/>
      <c r="C192" s="10" t="str" cm="1">
        <f t="array" ref="C192">_xlfn.IFS(S192 = Modules!$A$2,Modules!$B$2,S192 = Modules!$A$3,Modules!$B$3,S192 = Modules!$A$4,Modules!$B$4,S192 = Modules!$A$5,Modules!$B$5,S192 = Modules!$A$6,Modules!$B$6,S192 = Modules!$A$7,Modules!$B$7,S192 = Modules!$A$8,Modules!$B$8,S192 = Modules!$A$9,Modules!$B$9,S192 = Modules!$A$10,Modules!$B$10,S192 = Modules!$A$11,Modules!$B$11,S192 = Modules!$A$12,Modules!$B$12, S192 = Modules!$A$13,Modules!$B$13)</f>
        <v>id</v>
      </c>
      <c r="D192" s="2" t="s">
        <v>1177</v>
      </c>
      <c r="E192" s="10"/>
      <c r="F192" s="10"/>
      <c r="G192" s="10"/>
      <c r="H192" s="10"/>
      <c r="I192" s="10"/>
      <c r="J192" s="10" t="str">
        <f t="shared" si="4"/>
        <v>idEmpStatistics1</v>
      </c>
      <c r="K192" s="2" t="s">
        <v>1430</v>
      </c>
      <c r="L192" s="10" t="s">
        <v>1035</v>
      </c>
      <c r="M192" s="10" t="str">
        <f t="shared" si="5"/>
        <v>No</v>
      </c>
      <c r="R192" s="4" t="s">
        <v>745</v>
      </c>
      <c r="S192" s="2" t="s">
        <v>457</v>
      </c>
    </row>
    <row r="193" spans="1:21" ht="13.5" customHeight="1" x14ac:dyDescent="0.2">
      <c r="A193" s="10" t="s">
        <v>198</v>
      </c>
      <c r="B193" s="10"/>
      <c r="C193" s="10" t="str" cm="1">
        <f t="array" ref="C193">_xlfn.IFS(S193 = Modules!$A$2,Modules!$B$2,S193 = Modules!$A$3,Modules!$B$3,S193 = Modules!$A$4,Modules!$B$4,S193 = Modules!$A$5,Modules!$B$5,S193 = Modules!$A$6,Modules!$B$6,S193 = Modules!$A$7,Modules!$B$7,S193 = Modules!$A$8,Modules!$B$8,S193 = Modules!$A$9,Modules!$B$9,S193 = Modules!$A$10,Modules!$B$10,S193 = Modules!$A$11,Modules!$B$11,S193 = Modules!$A$12,Modules!$B$12, S193 = Modules!$A$13,Modules!$B$13)</f>
        <v>id</v>
      </c>
      <c r="D193" s="2" t="s">
        <v>1178</v>
      </c>
      <c r="E193" s="10"/>
      <c r="F193" s="10"/>
      <c r="G193" s="10"/>
      <c r="H193" s="10"/>
      <c r="I193" s="10"/>
      <c r="J193" s="10" t="str">
        <f t="shared" ref="J193:J256" si="6">CONCATENATE(B193, C193,D193,E193,F193,G193,H193,I193)</f>
        <v>idHealthStatistics1</v>
      </c>
      <c r="K193" s="2" t="s">
        <v>1430</v>
      </c>
      <c r="L193" s="10" t="s">
        <v>1034</v>
      </c>
      <c r="M193" s="10" t="str">
        <f t="shared" ref="M193:M256" si="7">IF(OR(O193&lt;&gt;"", Q193&lt;&gt;""),"Yes","No")</f>
        <v>No</v>
      </c>
      <c r="R193" s="4" t="s">
        <v>605</v>
      </c>
      <c r="S193" s="2" t="s">
        <v>457</v>
      </c>
    </row>
    <row r="194" spans="1:21" ht="13.5" customHeight="1" x14ac:dyDescent="0.2">
      <c r="A194" s="2" t="s">
        <v>227</v>
      </c>
      <c r="C194" s="10" t="str" cm="1">
        <f t="array" ref="C194">_xlfn.IFS(S194 = Modules!$A$2,Modules!$B$2,S194 = Modules!$A$3,Modules!$B$3,S194 = Modules!$A$4,Modules!$B$4,S194 = Modules!$A$5,Modules!$B$5,S194 = Modules!$A$6,Modules!$B$6,S194 = Modules!$A$7,Modules!$B$7,S194 = Modules!$A$8,Modules!$B$8,S194 = Modules!$A$9,Modules!$B$9,S194 = Modules!$A$10,Modules!$B$10,S194 = Modules!$A$11,Modules!$B$11,S194 = Modules!$A$12,Modules!$B$12, S194 = Modules!$A$13,Modules!$B$13)</f>
        <v>id</v>
      </c>
      <c r="D194" s="2" t="s">
        <v>1116</v>
      </c>
      <c r="J194" s="10" t="str">
        <f t="shared" si="6"/>
        <v>idHh</v>
      </c>
      <c r="K194" s="2" t="s">
        <v>719</v>
      </c>
      <c r="L194" s="10"/>
      <c r="M194" s="10" t="str">
        <f t="shared" si="7"/>
        <v>No</v>
      </c>
      <c r="R194" s="4" t="s">
        <v>747</v>
      </c>
      <c r="S194" s="2" t="s">
        <v>457</v>
      </c>
    </row>
    <row r="195" spans="1:21" ht="13.5" customHeight="1" x14ac:dyDescent="0.2">
      <c r="A195" s="2" t="s">
        <v>228</v>
      </c>
      <c r="C195" s="10" t="str" cm="1">
        <f t="array" ref="C195">_xlfn.IFS(S195 = Modules!$A$2,Modules!$B$2,S195 = Modules!$A$3,Modules!$B$3,S195 = Modules!$A$4,Modules!$B$4,S195 = Modules!$A$5,Modules!$B$5,S195 = Modules!$A$6,Modules!$B$6,S195 = Modules!$A$7,Modules!$B$7,S195 = Modules!$A$8,Modules!$B$8,S195 = Modules!$A$9,Modules!$B$9,S195 = Modules!$A$10,Modules!$B$10,S195 = Modules!$A$11,Modules!$B$11,S195 = Modules!$A$12,Modules!$B$12, S195 = Modules!$A$13,Modules!$B$13)</f>
        <v>id</v>
      </c>
      <c r="D195" s="2" t="s">
        <v>1179</v>
      </c>
      <c r="J195" s="10" t="str">
        <f t="shared" si="6"/>
        <v>idPers</v>
      </c>
      <c r="K195" s="2" t="s">
        <v>721</v>
      </c>
      <c r="L195" s="10"/>
      <c r="M195" s="10" t="str">
        <f t="shared" si="7"/>
        <v>No</v>
      </c>
      <c r="R195" s="4" t="s">
        <v>748</v>
      </c>
      <c r="S195" s="2" t="s">
        <v>457</v>
      </c>
    </row>
    <row r="196" spans="1:21" ht="13.5" customHeight="1" x14ac:dyDescent="0.2">
      <c r="A196" s="10" t="s">
        <v>258</v>
      </c>
      <c r="B196" s="10"/>
      <c r="C196" s="10" t="str" cm="1">
        <f t="array" ref="C196">_xlfn.IFS(S196 = Modules!$A$2,Modules!$B$2,S196 = Modules!$A$3,Modules!$B$3,S196 = Modules!$A$4,Modules!$B$4,S196 = Modules!$A$5,Modules!$B$5,S196 = Modules!$A$6,Modules!$B$6,S196 = Modules!$A$7,Modules!$B$7,S196 = Modules!$A$8,Modules!$B$8,S196 = Modules!$A$9,Modules!$B$9,S196 = Modules!$A$10,Modules!$B$10,S196 = Modules!$A$11,Modules!$B$11,S196 = Modules!$A$12,Modules!$B$12, S196 = Modules!$A$13,Modules!$B$13)</f>
        <v>id</v>
      </c>
      <c r="D196" s="2" t="s">
        <v>1180</v>
      </c>
      <c r="E196" s="10"/>
      <c r="F196" s="10"/>
      <c r="G196" s="10"/>
      <c r="H196" s="10"/>
      <c r="I196" s="10"/>
      <c r="J196" s="10" t="str">
        <f t="shared" si="6"/>
        <v>idStatistics1</v>
      </c>
      <c r="K196" s="2" t="s">
        <v>1430</v>
      </c>
      <c r="L196" s="10" t="s">
        <v>1037</v>
      </c>
      <c r="M196" s="10" t="str">
        <f t="shared" si="7"/>
        <v>No</v>
      </c>
      <c r="R196" s="4" t="s">
        <v>704</v>
      </c>
      <c r="S196" s="2" t="s">
        <v>457</v>
      </c>
    </row>
    <row r="197" spans="1:21" ht="13.5" customHeight="1" x14ac:dyDescent="0.2">
      <c r="A197" s="2" t="s">
        <v>270</v>
      </c>
      <c r="C197" s="10" t="str" cm="1">
        <f t="array" ref="C197">_xlfn.IFS(S197 = Modules!$A$2,Modules!$B$2,S197 = Modules!$A$3,Modules!$B$3,S197 = Modules!$A$4,Modules!$B$4,S197 = Modules!$A$5,Modules!$B$5,S197 = Modules!$A$6,Modules!$B$6,S197 = Modules!$A$7,Modules!$B$7,S197 = Modules!$A$8,Modules!$B$8,S197 = Modules!$A$9,Modules!$B$9,S197 = Modules!$A$10,Modules!$B$10,S197 = Modules!$A$11,Modules!$B$11,S197 = Modules!$A$12,Modules!$B$12, S197 = Modules!$A$13,Modules!$B$13)</f>
        <v>id</v>
      </c>
      <c r="D197" s="2" t="s">
        <v>1181</v>
      </c>
      <c r="J197" s="10" t="str">
        <f t="shared" si="6"/>
        <v>idStatistics21</v>
      </c>
      <c r="K197" s="2" t="s">
        <v>1430</v>
      </c>
      <c r="L197" s="10" t="s">
        <v>1037</v>
      </c>
      <c r="M197" s="10" t="str">
        <f t="shared" si="7"/>
        <v>No</v>
      </c>
      <c r="R197" s="4" t="s">
        <v>794</v>
      </c>
      <c r="S197" s="2" t="s">
        <v>457</v>
      </c>
    </row>
    <row r="198" spans="1:21" ht="13.5" customHeight="1" x14ac:dyDescent="0.2">
      <c r="A198" s="10" t="s">
        <v>320</v>
      </c>
      <c r="B198" s="10"/>
      <c r="C198" s="10" t="str" cm="1">
        <f t="array" ref="C198">_xlfn.IFS(S198 = Modules!$A$2,Modules!$B$2,S198 = Modules!$A$3,Modules!$B$3,S198 = Modules!$A$4,Modules!$B$4,S198 = Modules!$A$5,Modules!$B$5,S198 = Modules!$A$6,Modules!$B$6,S198 = Modules!$A$7,Modules!$B$7,S198 = Modules!$A$8,Modules!$B$8,S198 = Modules!$A$9,Modules!$B$9,S198 = Modules!$A$10,Modules!$B$10,S198 = Modules!$A$11,Modules!$B$11,S198 = Modules!$A$12,Modules!$B$12, S198 = Modules!$A$13,Modules!$B$13)</f>
        <v>id</v>
      </c>
      <c r="D198" s="2" t="s">
        <v>1182</v>
      </c>
      <c r="E198" s="10"/>
      <c r="F198" s="10"/>
      <c r="G198" s="10"/>
      <c r="H198" s="10"/>
      <c r="I198" s="10"/>
      <c r="J198" s="10" t="str">
        <f t="shared" si="6"/>
        <v>idStatistics31</v>
      </c>
      <c r="K198" s="2" t="s">
        <v>1430</v>
      </c>
      <c r="L198" s="10" t="s">
        <v>1037</v>
      </c>
      <c r="M198" s="10" t="str">
        <f t="shared" si="7"/>
        <v>No</v>
      </c>
      <c r="R198" s="4" t="s">
        <v>795</v>
      </c>
      <c r="S198" s="2" t="s">
        <v>457</v>
      </c>
    </row>
    <row r="199" spans="1:21" ht="13.5" customHeight="1" x14ac:dyDescent="0.2">
      <c r="A199" s="2" t="s">
        <v>130</v>
      </c>
      <c r="C199" s="10" t="str" cm="1">
        <f t="array" ref="C199">_xlfn.IFS(S199 = Modules!$A$2,Modules!$B$2,S199 = Modules!$A$3,Modules!$B$3,S199 = Modules!$A$4,Modules!$B$4,S199 = Modules!$A$5,Modules!$B$5,S199 = Modules!$A$6,Modules!$B$6,S199 = Modules!$A$7,Modules!$B$7,S199 = Modules!$A$8,Modules!$B$8,S199 = Modules!$A$9,Modules!$B$9,S199 = Modules!$A$10,Modules!$B$10,S199 = Modules!$A$11,Modules!$B$11,S199 = Modules!$A$12,Modules!$B$12, S199 = Modules!$A$13,Modules!$B$13)</f>
        <v>id</v>
      </c>
      <c r="D199" s="2" t="s">
        <v>1176</v>
      </c>
      <c r="J199" s="10" t="str">
        <f t="shared" si="6"/>
        <v>idBu</v>
      </c>
      <c r="K199" s="2" t="s">
        <v>720</v>
      </c>
      <c r="L199" s="10" t="s">
        <v>334</v>
      </c>
      <c r="M199" s="10" t="str">
        <f t="shared" si="7"/>
        <v>Yes</v>
      </c>
      <c r="O199" s="4" t="s">
        <v>506</v>
      </c>
      <c r="P199" s="4"/>
      <c r="Q199" s="4" t="s">
        <v>1355</v>
      </c>
      <c r="S199" s="2" t="s">
        <v>457</v>
      </c>
      <c r="U199" s="2" t="s">
        <v>507</v>
      </c>
    </row>
    <row r="200" spans="1:21" ht="13.5" customHeight="1" x14ac:dyDescent="0.2">
      <c r="A200" s="2" t="s">
        <v>244</v>
      </c>
      <c r="C200" s="10" t="str" cm="1">
        <f t="array" ref="C200">_xlfn.IFS(S200 = Modules!$A$2,Modules!$B$2,S200 = Modules!$A$3,Modules!$B$3,S200 = Modules!$A$4,Modules!$B$4,S200 = Modules!$A$5,Modules!$B$5,S200 = Modules!$A$6,Modules!$B$6,S200 = Modules!$A$7,Modules!$B$7,S200 = Modules!$A$8,Modules!$B$8,S200 = Modules!$A$9,Modules!$B$9,S200 = Modules!$A$10,Modules!$B$10,S200 = Modules!$A$11,Modules!$B$11,S200 = Modules!$A$12,Modules!$B$12, S200 = Modules!$A$13,Modules!$B$13)</f>
        <v>id</v>
      </c>
      <c r="D200" s="2" t="s">
        <v>1176</v>
      </c>
      <c r="J200" s="10" t="str">
        <f t="shared" si="6"/>
        <v>idBu</v>
      </c>
      <c r="K200" s="2" t="s">
        <v>720</v>
      </c>
      <c r="L200" s="10" t="s">
        <v>334</v>
      </c>
      <c r="M200" s="10" t="str">
        <f t="shared" si="7"/>
        <v>No</v>
      </c>
      <c r="S200" s="2" t="s">
        <v>457</v>
      </c>
    </row>
    <row r="201" spans="1:21" ht="13.5" customHeight="1" x14ac:dyDescent="0.2">
      <c r="A201" s="2" t="s">
        <v>71</v>
      </c>
      <c r="C201" s="10" t="str" cm="1">
        <f t="array" ref="C201">_xlfn.IFS(S201 = Modules!$A$2,Modules!$B$2,S201 = Modules!$A$3,Modules!$B$3,S201 = Modules!$A$4,Modules!$B$4,S201 = Modules!$A$5,Modules!$B$5,S201 = Modules!$A$6,Modules!$B$6,S201 = Modules!$A$7,Modules!$B$7,S201 = Modules!$A$8,Modules!$B$8,S201 = Modules!$A$9,Modules!$B$9,S201 = Modules!$A$10,Modules!$B$10,S201 = Modules!$A$11,Modules!$B$11,S201 = Modules!$A$12,Modules!$B$12, S201 = Modules!$A$13,Modules!$B$13)</f>
        <v>id</v>
      </c>
      <c r="D201" s="2" t="s">
        <v>459</v>
      </c>
      <c r="J201" s="10" t="str">
        <f t="shared" si="6"/>
        <v>idFather</v>
      </c>
      <c r="K201" s="2" t="s">
        <v>723</v>
      </c>
      <c r="L201" s="10" t="s">
        <v>334</v>
      </c>
      <c r="M201" s="10" t="str">
        <f t="shared" si="7"/>
        <v>Yes</v>
      </c>
      <c r="N201" s="2" t="s">
        <v>73</v>
      </c>
      <c r="O201" s="4" t="s">
        <v>521</v>
      </c>
      <c r="P201" s="4" t="s">
        <v>1261</v>
      </c>
      <c r="Q201" s="6" t="s">
        <v>1253</v>
      </c>
      <c r="S201" s="2" t="s">
        <v>457</v>
      </c>
      <c r="U201" s="2" t="s">
        <v>75</v>
      </c>
    </row>
    <row r="202" spans="1:21" ht="13.5" customHeight="1" x14ac:dyDescent="0.2">
      <c r="A202" s="10" t="s">
        <v>245</v>
      </c>
      <c r="B202" s="10"/>
      <c r="C202" s="10" t="str" cm="1">
        <f t="array" ref="C202">_xlfn.IFS(S202 = Modules!$A$2,Modules!$B$2,S202 = Modules!$A$3,Modules!$B$3,S202 = Modules!$A$4,Modules!$B$4,S202 = Modules!$A$5,Modules!$B$5,S202 = Modules!$A$6,Modules!$B$6,S202 = Modules!$A$7,Modules!$B$7,S202 = Modules!$A$8,Modules!$B$8,S202 = Modules!$A$9,Modules!$B$9,S202 = Modules!$A$10,Modules!$B$10,S202 = Modules!$A$11,Modules!$B$11,S202 = Modules!$A$12,Modules!$B$12, S202 = Modules!$A$13,Modules!$B$13)</f>
        <v>id</v>
      </c>
      <c r="D202" s="2" t="s">
        <v>460</v>
      </c>
      <c r="E202" s="10"/>
      <c r="F202" s="10"/>
      <c r="G202" s="10"/>
      <c r="H202" s="10"/>
      <c r="I202" s="10"/>
      <c r="J202" s="10" t="str">
        <f t="shared" si="6"/>
        <v>idMother</v>
      </c>
      <c r="K202" s="2" t="s">
        <v>723</v>
      </c>
      <c r="L202" s="10" t="s">
        <v>334</v>
      </c>
      <c r="M202" s="10" t="str">
        <f t="shared" si="7"/>
        <v>No</v>
      </c>
      <c r="S202" s="10" t="s">
        <v>457</v>
      </c>
    </row>
    <row r="203" spans="1:21" ht="13.5" customHeight="1" x14ac:dyDescent="0.2">
      <c r="A203" s="2" t="s">
        <v>2</v>
      </c>
      <c r="C203" s="10" t="str" cm="1">
        <f t="array" ref="C203">_xlfn.IFS(S203 = Modules!$A$2,Modules!$B$2,S203 = Modules!$A$3,Modules!$B$3,S203 = Modules!$A$4,Modules!$B$4,S203 = Modules!$A$5,Modules!$B$5,S203 = Modules!$A$6,Modules!$B$6,S203 = Modules!$A$7,Modules!$B$7,S203 = Modules!$A$8,Modules!$B$8,S203 = Modules!$A$9,Modules!$B$9,S203 = Modules!$A$10,Modules!$B$10,S203 = Modules!$A$11,Modules!$B$11,S203 = Modules!$A$12,Modules!$B$12, S203 = Modules!$A$13,Modules!$B$13)</f>
        <v>id</v>
      </c>
      <c r="D203" s="2" t="s">
        <v>1116</v>
      </c>
      <c r="J203" s="10" t="str">
        <f t="shared" si="6"/>
        <v>idHh</v>
      </c>
      <c r="K203" s="2" t="s">
        <v>719</v>
      </c>
      <c r="L203" s="10" t="s">
        <v>334</v>
      </c>
      <c r="M203" s="10" t="str">
        <f t="shared" si="7"/>
        <v>Yes</v>
      </c>
      <c r="N203" s="2" t="s">
        <v>3</v>
      </c>
      <c r="O203" s="4" t="s">
        <v>521</v>
      </c>
      <c r="P203" s="4" t="s">
        <v>1255</v>
      </c>
      <c r="Q203" s="2" t="s">
        <v>1253</v>
      </c>
      <c r="S203" s="2" t="s">
        <v>457</v>
      </c>
      <c r="U203" s="2" t="s">
        <v>4</v>
      </c>
    </row>
    <row r="204" spans="1:21" ht="13.5" customHeight="1" x14ac:dyDescent="0.2">
      <c r="A204" s="10" t="s">
        <v>182</v>
      </c>
      <c r="B204" s="10"/>
      <c r="C204" s="10" t="str" cm="1">
        <f t="array" ref="C204">_xlfn.IFS(S204 = Modules!$A$2,Modules!$B$2,S204 = Modules!$A$3,Modules!$B$3,S204 = Modules!$A$4,Modules!$B$4,S204 = Modules!$A$5,Modules!$B$5,S204 = Modules!$A$6,Modules!$B$6,S204 = Modules!$A$7,Modules!$B$7,S204 = Modules!$A$8,Modules!$B$8,S204 = Modules!$A$9,Modules!$B$9,S204 = Modules!$A$10,Modules!$B$10,S204 = Modules!$A$11,Modules!$B$11,S204 = Modules!$A$12,Modules!$B$12, S204 = Modules!$A$13,Modules!$B$13)</f>
        <v>id</v>
      </c>
      <c r="D204" s="2" t="s">
        <v>1116</v>
      </c>
      <c r="E204" s="10"/>
      <c r="F204" s="10"/>
      <c r="G204" s="10"/>
      <c r="H204" s="10"/>
      <c r="I204" s="10"/>
      <c r="J204" s="10" t="str">
        <f t="shared" si="6"/>
        <v>idHh</v>
      </c>
      <c r="K204" s="2" t="s">
        <v>719</v>
      </c>
      <c r="L204" s="2" t="s">
        <v>451</v>
      </c>
      <c r="M204" s="10" t="str">
        <f t="shared" si="7"/>
        <v>No</v>
      </c>
      <c r="S204" s="2" t="s">
        <v>457</v>
      </c>
    </row>
    <row r="205" spans="1:21" ht="13.5" customHeight="1" x14ac:dyDescent="0.2">
      <c r="A205" s="2" t="s">
        <v>72</v>
      </c>
      <c r="C205" s="10" t="str" cm="1">
        <f t="array" ref="C205">_xlfn.IFS(S205 = Modules!$A$2,Modules!$B$2,S205 = Modules!$A$3,Modules!$B$3,S205 = Modules!$A$4,Modules!$B$4,S205 = Modules!$A$5,Modules!$B$5,S205 = Modules!$A$6,Modules!$B$6,S205 = Modules!$A$7,Modules!$B$7,S205 = Modules!$A$8,Modules!$B$8,S205 = Modules!$A$9,Modules!$B$9,S205 = Modules!$A$10,Modules!$B$10,S205 = Modules!$A$11,Modules!$B$11,S205 = Modules!$A$12,Modules!$B$12, S205 = Modules!$A$13,Modules!$B$13)</f>
        <v>id</v>
      </c>
      <c r="D205" s="2" t="s">
        <v>460</v>
      </c>
      <c r="J205" s="10" t="str">
        <f t="shared" si="6"/>
        <v>idMother</v>
      </c>
      <c r="K205" s="2" t="s">
        <v>724</v>
      </c>
      <c r="L205" s="10" t="s">
        <v>334</v>
      </c>
      <c r="M205" s="10" t="str">
        <f t="shared" si="7"/>
        <v>Yes</v>
      </c>
      <c r="N205" s="2" t="s">
        <v>74</v>
      </c>
      <c r="O205" s="4" t="s">
        <v>521</v>
      </c>
      <c r="P205" s="4" t="s">
        <v>1262</v>
      </c>
      <c r="Q205" s="6" t="s">
        <v>1253</v>
      </c>
      <c r="S205" s="2" t="s">
        <v>457</v>
      </c>
      <c r="U205" s="2" t="s">
        <v>76</v>
      </c>
    </row>
    <row r="206" spans="1:21" ht="13.5" customHeight="1" x14ac:dyDescent="0.2">
      <c r="A206" s="10" t="s">
        <v>246</v>
      </c>
      <c r="B206" s="10"/>
      <c r="C206" s="10" t="str" cm="1">
        <f t="array" ref="C206">_xlfn.IFS(S206 = Modules!$A$2,Modules!$B$2,S206 = Modules!$A$3,Modules!$B$3,S206 = Modules!$A$4,Modules!$B$4,S206 = Modules!$A$5,Modules!$B$5,S206 = Modules!$A$6,Modules!$B$6,S206 = Modules!$A$7,Modules!$B$7,S206 = Modules!$A$8,Modules!$B$8,S206 = Modules!$A$9,Modules!$B$9,S206 = Modules!$A$10,Modules!$B$10,S206 = Modules!$A$11,Modules!$B$11,S206 = Modules!$A$12,Modules!$B$12, S206 = Modules!$A$13,Modules!$B$13)</f>
        <v>id</v>
      </c>
      <c r="D206" s="2" t="s">
        <v>460</v>
      </c>
      <c r="E206" s="10"/>
      <c r="F206" s="10"/>
      <c r="G206" s="10"/>
      <c r="H206" s="10"/>
      <c r="I206" s="10"/>
      <c r="J206" s="10" t="str">
        <f t="shared" si="6"/>
        <v>idMother</v>
      </c>
      <c r="K206" s="2" t="s">
        <v>724</v>
      </c>
      <c r="L206" s="10" t="s">
        <v>334</v>
      </c>
      <c r="M206" s="10" t="str">
        <f t="shared" si="7"/>
        <v>No</v>
      </c>
      <c r="S206" s="10" t="s">
        <v>457</v>
      </c>
    </row>
    <row r="207" spans="1:21" ht="13.5" customHeight="1" x14ac:dyDescent="0.2">
      <c r="A207" s="10" t="s">
        <v>183</v>
      </c>
      <c r="B207" s="10"/>
      <c r="C207" s="10" t="str" cm="1">
        <f t="array" ref="C207">_xlfn.IFS(S207 = Modules!$A$2,Modules!$B$2,S207 = Modules!$A$3,Modules!$B$3,S207 = Modules!$A$4,Modules!$B$4,S207 = Modules!$A$5,Modules!$B$5,S207 = Modules!$A$6,Modules!$B$6,S207 = Modules!$A$7,Modules!$B$7,S207 = Modules!$A$8,Modules!$B$8,S207 = Modules!$A$9,Modules!$B$9,S207 = Modules!$A$10,Modules!$B$10,S207 = Modules!$A$11,Modules!$B$11,S207 = Modules!$A$12,Modules!$B$12, S207 = Modules!$A$13,Modules!$B$13)</f>
        <v>id</v>
      </c>
      <c r="D207" s="2" t="s">
        <v>1176</v>
      </c>
      <c r="E207" s="10"/>
      <c r="F207" s="10"/>
      <c r="G207" s="10" t="s">
        <v>1183</v>
      </c>
      <c r="H207" s="10"/>
      <c r="I207" s="10"/>
      <c r="J207" s="10" t="str">
        <f t="shared" si="6"/>
        <v>idBuOriginal</v>
      </c>
      <c r="K207" s="2" t="s">
        <v>720</v>
      </c>
      <c r="L207" s="2" t="s">
        <v>451</v>
      </c>
      <c r="M207" s="10" t="str">
        <f t="shared" si="7"/>
        <v>No</v>
      </c>
      <c r="S207" s="2" t="s">
        <v>457</v>
      </c>
    </row>
    <row r="208" spans="1:21" ht="13.5" customHeight="1" x14ac:dyDescent="0.2">
      <c r="A208" s="10" t="s">
        <v>184</v>
      </c>
      <c r="B208" s="10"/>
      <c r="C208" s="10" t="str" cm="1">
        <f t="array" ref="C208">_xlfn.IFS(S208 = Modules!$A$2,Modules!$B$2,S208 = Modules!$A$3,Modules!$B$3,S208 = Modules!$A$4,Modules!$B$4,S208 = Modules!$A$5,Modules!$B$5,S208 = Modules!$A$6,Modules!$B$6,S208 = Modules!$A$7,Modules!$B$7,S208 = Modules!$A$8,Modules!$B$8,S208 = Modules!$A$9,Modules!$B$9,S208 = Modules!$A$10,Modules!$B$10,S208 = Modules!$A$11,Modules!$B$11,S208 = Modules!$A$12,Modules!$B$12, S208 = Modules!$A$13,Modules!$B$13)</f>
        <v>id</v>
      </c>
      <c r="D208" s="2" t="s">
        <v>1116</v>
      </c>
      <c r="E208" s="10"/>
      <c r="F208" s="10"/>
      <c r="G208" s="10" t="s">
        <v>1183</v>
      </c>
      <c r="H208" s="10"/>
      <c r="I208" s="10"/>
      <c r="J208" s="10" t="str">
        <f t="shared" si="6"/>
        <v>idHhOriginal</v>
      </c>
      <c r="K208" s="2" t="s">
        <v>719</v>
      </c>
      <c r="L208" s="2" t="s">
        <v>451</v>
      </c>
      <c r="M208" s="10" t="str">
        <f t="shared" si="7"/>
        <v>No</v>
      </c>
      <c r="S208" s="2" t="s">
        <v>457</v>
      </c>
    </row>
    <row r="209" spans="1:21" ht="13.5" customHeight="1" x14ac:dyDescent="0.2">
      <c r="A209" s="2" t="s">
        <v>247</v>
      </c>
      <c r="C209" s="10" t="str" cm="1">
        <f t="array" ref="C209">_xlfn.IFS(S209 = Modules!$A$2,Modules!$B$2,S209 = Modules!$A$3,Modules!$B$3,S209 = Modules!$A$4,Modules!$B$4,S209 = Modules!$A$5,Modules!$B$5,S209 = Modules!$A$6,Modules!$B$6,S209 = Modules!$A$7,Modules!$B$7,S209 = Modules!$A$8,Modules!$B$8,S209 = Modules!$A$9,Modules!$B$9,S209 = Modules!$A$10,Modules!$B$10,S209 = Modules!$A$11,Modules!$B$11,S209 = Modules!$A$12,Modules!$B$12, S209 = Modules!$A$13,Modules!$B$13)</f>
        <v>id</v>
      </c>
      <c r="D209" s="2" t="s">
        <v>1179</v>
      </c>
      <c r="G209" s="2" t="s">
        <v>1183</v>
      </c>
      <c r="J209" s="10" t="str">
        <f t="shared" si="6"/>
        <v>idPersOriginal</v>
      </c>
      <c r="K209" s="2" t="s">
        <v>721</v>
      </c>
      <c r="L209" s="10" t="s">
        <v>334</v>
      </c>
      <c r="M209" s="10" t="str">
        <f t="shared" si="7"/>
        <v>No</v>
      </c>
      <c r="S209" s="2" t="s">
        <v>457</v>
      </c>
    </row>
    <row r="210" spans="1:21" ht="13.5" customHeight="1" x14ac:dyDescent="0.2">
      <c r="A210" s="2" t="s">
        <v>8</v>
      </c>
      <c r="C210" s="10" t="str" cm="1">
        <f t="array" ref="C210">_xlfn.IFS(S210 = Modules!$A$2,Modules!$B$2,S210 = Modules!$A$3,Modules!$B$3,S210 = Modules!$A$4,Modules!$B$4,S210 = Modules!$A$5,Modules!$B$5,S210 = Modules!$A$6,Modules!$B$6,S210 = Modules!$A$7,Modules!$B$7,S210 = Modules!$A$8,Modules!$B$8,S210 = Modules!$A$9,Modules!$B$9,S210 = Modules!$A$10,Modules!$B$10,S210 = Modules!$A$11,Modules!$B$11,S210 = Modules!$A$12,Modules!$B$12, S210 = Modules!$A$13,Modules!$B$13)</f>
        <v>id</v>
      </c>
      <c r="D210" s="2" t="s">
        <v>1087</v>
      </c>
      <c r="J210" s="10" t="str">
        <f t="shared" si="6"/>
        <v>idPartner</v>
      </c>
      <c r="K210" s="2" t="s">
        <v>722</v>
      </c>
      <c r="L210" s="10" t="s">
        <v>334</v>
      </c>
      <c r="M210" s="10" t="str">
        <f t="shared" si="7"/>
        <v>Yes</v>
      </c>
      <c r="N210" s="2" t="s">
        <v>25</v>
      </c>
      <c r="O210" s="4" t="s">
        <v>521</v>
      </c>
      <c r="P210" s="4" t="s">
        <v>1263</v>
      </c>
      <c r="Q210" s="6" t="s">
        <v>1253</v>
      </c>
      <c r="S210" s="2" t="s">
        <v>457</v>
      </c>
      <c r="U210" s="2" t="s">
        <v>9</v>
      </c>
    </row>
    <row r="211" spans="1:21" ht="13.5" customHeight="1" x14ac:dyDescent="0.2">
      <c r="A211" s="2" t="s">
        <v>361</v>
      </c>
      <c r="C211" s="10" t="str" cm="1">
        <f t="array" ref="C211">_xlfn.IFS(S211 = Modules!$A$2,Modules!$B$2,S211 = Modules!$A$3,Modules!$B$3,S211 = Modules!$A$4,Modules!$B$4,S211 = Modules!$A$5,Modules!$B$5,S211 = Modules!$A$6,Modules!$B$6,S211 = Modules!$A$7,Modules!$B$7,S211 = Modules!$A$8,Modules!$B$8,S211 = Modules!$A$9,Modules!$B$9,S211 = Modules!$A$10,Modules!$B$10,S211 = Modules!$A$11,Modules!$B$11,S211 = Modules!$A$12,Modules!$B$12, S211 = Modules!$A$13,Modules!$B$13)</f>
        <v>id</v>
      </c>
      <c r="D211" s="2" t="s">
        <v>1087</v>
      </c>
      <c r="I211" s="2" t="s">
        <v>1063</v>
      </c>
      <c r="J211" s="10" t="str">
        <f t="shared" si="6"/>
        <v>idPartnerL1</v>
      </c>
      <c r="K211" s="2" t="s">
        <v>871</v>
      </c>
      <c r="L211" s="2" t="s">
        <v>334</v>
      </c>
      <c r="M211" s="10" t="str">
        <f t="shared" si="7"/>
        <v>No</v>
      </c>
      <c r="S211" s="2" t="s">
        <v>457</v>
      </c>
    </row>
    <row r="212" spans="1:21" ht="13.5" customHeight="1" x14ac:dyDescent="0.2">
      <c r="A212" s="2" t="s">
        <v>5</v>
      </c>
      <c r="C212" s="10" t="str" cm="1">
        <f t="array" ref="C212">_xlfn.IFS(S212 = Modules!$A$2,Modules!$B$2,S212 = Modules!$A$3,Modules!$B$3,S212 = Modules!$A$4,Modules!$B$4,S212 = Modules!$A$5,Modules!$B$5,S212 = Modules!$A$6,Modules!$B$6,S212 = Modules!$A$7,Modules!$B$7,S212 = Modules!$A$8,Modules!$B$8,S212 = Modules!$A$9,Modules!$B$9,S212 = Modules!$A$10,Modules!$B$10,S212 = Modules!$A$11,Modules!$B$11,S212 = Modules!$A$12,Modules!$B$12, S212 = Modules!$A$13,Modules!$B$13)</f>
        <v>id</v>
      </c>
      <c r="D212" s="2" t="s">
        <v>1179</v>
      </c>
      <c r="J212" s="10" t="str">
        <f t="shared" si="6"/>
        <v>idPers</v>
      </c>
      <c r="K212" s="2" t="s">
        <v>721</v>
      </c>
      <c r="L212" s="10" t="s">
        <v>334</v>
      </c>
      <c r="M212" s="10" t="str">
        <f t="shared" si="7"/>
        <v>Yes</v>
      </c>
      <c r="N212" s="2" t="s">
        <v>6</v>
      </c>
      <c r="O212" s="4" t="s">
        <v>521</v>
      </c>
      <c r="P212" s="4" t="s">
        <v>1256</v>
      </c>
      <c r="Q212" s="6" t="s">
        <v>1253</v>
      </c>
      <c r="S212" s="2" t="s">
        <v>457</v>
      </c>
      <c r="U212" s="2" t="s">
        <v>7</v>
      </c>
    </row>
    <row r="213" spans="1:21" ht="13.5" customHeight="1" x14ac:dyDescent="0.2">
      <c r="A213" s="2" t="s">
        <v>420</v>
      </c>
      <c r="B213" s="2" t="s">
        <v>1235</v>
      </c>
      <c r="C213" s="10" t="str" cm="1">
        <f t="array" ref="C213">_xlfn.IFS(S213 = Modules!$A$2,Modules!$B$2,S213 = Modules!$A$3,Modules!$B$3,S213 = Modules!$A$4,Modules!$B$4,S213 = Modules!$A$5,Modules!$B$5,S213 = Modules!$A$6,Modules!$B$6,S213 = Modules!$A$7,Modules!$B$7,S213 = Modules!$A$8,Modules!$B$8,S213 = Modules!$A$9,Modules!$B$9,S213 = Modules!$A$10,Modules!$B$10,S213 = Modules!$A$11,Modules!$B$11,S213 = Modules!$A$12,Modules!$B$12, S213 = Modules!$A$13,Modules!$B$13)</f>
        <v>dem</v>
      </c>
      <c r="D213" s="2" t="s">
        <v>1141</v>
      </c>
      <c r="G213" s="2" t="s">
        <v>1142</v>
      </c>
      <c r="J213" s="10" t="str">
        <f t="shared" si="6"/>
        <v>i_demNChild0to2</v>
      </c>
      <c r="K213" s="2" t="s">
        <v>891</v>
      </c>
      <c r="L213" s="2" t="s">
        <v>334</v>
      </c>
      <c r="M213" s="10" t="str">
        <f t="shared" si="7"/>
        <v>No</v>
      </c>
      <c r="S213" s="2" t="s">
        <v>975</v>
      </c>
      <c r="U213" s="2" t="s">
        <v>884</v>
      </c>
    </row>
    <row r="214" spans="1:21" ht="13.5" customHeight="1" x14ac:dyDescent="0.2">
      <c r="A214" s="2" t="s">
        <v>439</v>
      </c>
      <c r="B214" s="2" t="s">
        <v>1235</v>
      </c>
      <c r="C214" s="10" t="str" cm="1">
        <f t="array" ref="C214">_xlfn.IFS(S214 = Modules!$A$2,Modules!$B$2,S214 = Modules!$A$3,Modules!$B$3,S214 = Modules!$A$4,Modules!$B$4,S214 = Modules!$A$5,Modules!$B$5,S214 = Modules!$A$6,Modules!$B$6,S214 = Modules!$A$7,Modules!$B$7,S214 = Modules!$A$8,Modules!$B$8,S214 = Modules!$A$9,Modules!$B$9,S214 = Modules!$A$10,Modules!$B$10,S214 = Modules!$A$11,Modules!$B$11,S214 = Modules!$A$12,Modules!$B$12, S214 = Modules!$A$13,Modules!$B$13)</f>
        <v>dem</v>
      </c>
      <c r="D214" s="2" t="s">
        <v>1141</v>
      </c>
      <c r="G214" s="2" t="s">
        <v>1142</v>
      </c>
      <c r="I214" s="2" t="s">
        <v>1063</v>
      </c>
      <c r="J214" s="10" t="str">
        <f t="shared" si="6"/>
        <v>i_demNChild0to2L1</v>
      </c>
      <c r="K214" s="2" t="s">
        <v>441</v>
      </c>
      <c r="L214" s="2" t="s">
        <v>451</v>
      </c>
      <c r="M214" s="10" t="str">
        <f t="shared" si="7"/>
        <v>No</v>
      </c>
      <c r="S214" s="2" t="s">
        <v>975</v>
      </c>
    </row>
    <row r="215" spans="1:21" ht="13.5" customHeight="1" x14ac:dyDescent="0.2">
      <c r="A215" s="2" t="s">
        <v>438</v>
      </c>
      <c r="C215" s="10" t="str" cm="1">
        <f t="array" ref="C215">_xlfn.IFS(S215 = Modules!$A$2,Modules!$B$2,S215 = Modules!$A$3,Modules!$B$3,S215 = Modules!$A$4,Modules!$B$4,S215 = Modules!$A$5,Modules!$B$5,S215 = Modules!$A$6,Modules!$B$6,S215 = Modules!$A$7,Modules!$B$7,S215 = Modules!$A$8,Modules!$B$8,S215 = Modules!$A$9,Modules!$B$9,S215 = Modules!$A$10,Modules!$B$10,S215 = Modules!$A$11,Modules!$B$11,S215 = Modules!$A$12,Modules!$B$12, S215 = Modules!$A$13,Modules!$B$13)</f>
        <v>dem</v>
      </c>
      <c r="G215" s="2" t="s">
        <v>1184</v>
      </c>
      <c r="I215" s="2" t="s">
        <v>1063</v>
      </c>
      <c r="J215" s="10" t="str">
        <f t="shared" si="6"/>
        <v>dem4to12L1</v>
      </c>
      <c r="K215" s="2" t="s">
        <v>440</v>
      </c>
      <c r="L215" s="2" t="s">
        <v>451</v>
      </c>
      <c r="M215" s="10" t="str">
        <f t="shared" si="7"/>
        <v>No</v>
      </c>
      <c r="S215" s="2" t="s">
        <v>975</v>
      </c>
    </row>
    <row r="216" spans="1:21" ht="13.5" customHeight="1" x14ac:dyDescent="0.2">
      <c r="A216" s="2" t="s">
        <v>422</v>
      </c>
      <c r="C216" s="10" t="str" cm="1">
        <f t="array" ref="C216">_xlfn.IFS(S216 = Modules!$A$2,Modules!$B$2,S216 = Modules!$A$3,Modules!$B$3,S216 = Modules!$A$4,Modules!$B$4,S216 = Modules!$A$5,Modules!$B$5,S216 = Modules!$A$6,Modules!$B$6,S216 = Modules!$A$7,Modules!$B$7,S216 = Modules!$A$8,Modules!$B$8,S216 = Modules!$A$9,Modules!$B$9,S216 = Modules!$A$10,Modules!$B$10,S216 = Modules!$A$11,Modules!$B$11,S216 = Modules!$A$12,Modules!$B$12, S216 = Modules!$A$13,Modules!$B$13)</f>
        <v>stat</v>
      </c>
      <c r="D216" s="2" t="s">
        <v>1411</v>
      </c>
      <c r="J216" s="10" t="str">
        <f t="shared" si="6"/>
        <v>statInnovations</v>
      </c>
      <c r="K216" s="2" t="s">
        <v>1410</v>
      </c>
      <c r="L216" s="2" t="s">
        <v>334</v>
      </c>
      <c r="M216" s="10" t="str">
        <f t="shared" si="7"/>
        <v>No</v>
      </c>
      <c r="S216" s="2" t="s">
        <v>973</v>
      </c>
    </row>
    <row r="217" spans="1:21" ht="13.5" customHeight="1" x14ac:dyDescent="0.2">
      <c r="A217" s="2" t="s">
        <v>425</v>
      </c>
      <c r="C217" s="10" t="str" cm="1">
        <f t="array" ref="C217">_xlfn.IFS(S217 = Modules!$A$2,Modules!$B$2,S217 = Modules!$A$3,Modules!$B$3,S217 = Modules!$A$4,Modules!$B$4,S217 = Modules!$A$5,Modules!$B$5,S217 = Modules!$A$6,Modules!$B$6,S217 = Modules!$A$7,Modules!$B$7,S217 = Modules!$A$8,Modules!$B$8,S217 = Modules!$A$9,Modules!$B$9,S217 = Modules!$A$10,Modules!$B$10,S217 = Modules!$A$11,Modules!$B$11,S217 = Modules!$A$12,Modules!$B$12, S217 = Modules!$A$13,Modules!$B$13)</f>
        <v>stat</v>
      </c>
      <c r="D217" s="2" t="s">
        <v>1187</v>
      </c>
      <c r="F217" s="2" t="s">
        <v>1185</v>
      </c>
      <c r="G217" s="2" t="s">
        <v>1081</v>
      </c>
      <c r="J217" s="10" t="str">
        <f t="shared" si="6"/>
        <v>statInverseMillsRatioMaxF</v>
      </c>
      <c r="K217" s="6" t="s">
        <v>897</v>
      </c>
      <c r="L217" s="2" t="s">
        <v>334</v>
      </c>
      <c r="M217" s="10" t="str">
        <f t="shared" si="7"/>
        <v>No</v>
      </c>
      <c r="S217" s="10" t="s">
        <v>973</v>
      </c>
    </row>
    <row r="218" spans="1:21" ht="13.5" customHeight="1" x14ac:dyDescent="0.2">
      <c r="A218" s="2" t="s">
        <v>427</v>
      </c>
      <c r="C218" s="10" t="str" cm="1">
        <f t="array" ref="C218">_xlfn.IFS(S218 = Modules!$A$2,Modules!$B$2,S218 = Modules!$A$3,Modules!$B$3,S218 = Modules!$A$4,Modules!$B$4,S218 = Modules!$A$5,Modules!$B$5,S218 = Modules!$A$6,Modules!$B$6,S218 = Modules!$A$7,Modules!$B$7,S218 = Modules!$A$8,Modules!$B$8,S218 = Modules!$A$9,Modules!$B$9,S218 = Modules!$A$10,Modules!$B$10,S218 = Modules!$A$11,Modules!$B$11,S218 = Modules!$A$12,Modules!$B$12, S218 = Modules!$A$13,Modules!$B$13)</f>
        <v>stat</v>
      </c>
      <c r="D218" s="2" t="s">
        <v>1187</v>
      </c>
      <c r="F218" s="2" t="s">
        <v>1185</v>
      </c>
      <c r="G218" s="2" t="s">
        <v>1082</v>
      </c>
      <c r="J218" s="10" t="str">
        <f t="shared" si="6"/>
        <v>statInverseMillsRatioMaxM</v>
      </c>
      <c r="K218" s="2" t="s">
        <v>895</v>
      </c>
      <c r="L218" s="2" t="s">
        <v>334</v>
      </c>
      <c r="M218" s="10" t="str">
        <f t="shared" si="7"/>
        <v>No</v>
      </c>
      <c r="S218" s="10" t="s">
        <v>973</v>
      </c>
    </row>
    <row r="219" spans="1:21" ht="13.5" customHeight="1" x14ac:dyDescent="0.2">
      <c r="A219" s="2" t="s">
        <v>426</v>
      </c>
      <c r="C219" s="10" t="str" cm="1">
        <f t="array" ref="C219">_xlfn.IFS(S219 = Modules!$A$2,Modules!$B$2,S219 = Modules!$A$3,Modules!$B$3,S219 = Modules!$A$4,Modules!$B$4,S219 = Modules!$A$5,Modules!$B$5,S219 = Modules!$A$6,Modules!$B$6,S219 = Modules!$A$7,Modules!$B$7,S219 = Modules!$A$8,Modules!$B$8,S219 = Modules!$A$9,Modules!$B$9,S219 = Modules!$A$10,Modules!$B$10,S219 = Modules!$A$11,Modules!$B$11,S219 = Modules!$A$12,Modules!$B$12, S219 = Modules!$A$13,Modules!$B$13)</f>
        <v>stat</v>
      </c>
      <c r="D219" s="2" t="s">
        <v>1187</v>
      </c>
      <c r="F219" s="2" t="s">
        <v>1186</v>
      </c>
      <c r="G219" s="2" t="s">
        <v>1081</v>
      </c>
      <c r="J219" s="10" t="str">
        <f t="shared" si="6"/>
        <v>statInverseMillsRatioMinF</v>
      </c>
      <c r="K219" s="6" t="s">
        <v>898</v>
      </c>
      <c r="L219" s="2" t="s">
        <v>334</v>
      </c>
      <c r="M219" s="10" t="str">
        <f t="shared" si="7"/>
        <v>No</v>
      </c>
      <c r="S219" s="10" t="s">
        <v>973</v>
      </c>
    </row>
    <row r="220" spans="1:21" ht="13.5" customHeight="1" x14ac:dyDescent="0.2">
      <c r="A220" s="2" t="s">
        <v>428</v>
      </c>
      <c r="C220" s="10" t="str" cm="1">
        <f t="array" ref="C220">_xlfn.IFS(S220 = Modules!$A$2,Modules!$B$2,S220 = Modules!$A$3,Modules!$B$3,S220 = Modules!$A$4,Modules!$B$4,S220 = Modules!$A$5,Modules!$B$5,S220 = Modules!$A$6,Modules!$B$6,S220 = Modules!$A$7,Modules!$B$7,S220 = Modules!$A$8,Modules!$B$8,S220 = Modules!$A$9,Modules!$B$9,S220 = Modules!$A$10,Modules!$B$10,S220 = Modules!$A$11,Modules!$B$11,S220 = Modules!$A$12,Modules!$B$12, S220 = Modules!$A$13,Modules!$B$13)</f>
        <v>stat</v>
      </c>
      <c r="D220" s="2" t="s">
        <v>1187</v>
      </c>
      <c r="F220" s="2" t="s">
        <v>1186</v>
      </c>
      <c r="G220" s="2" t="s">
        <v>1082</v>
      </c>
      <c r="J220" s="10" t="str">
        <f t="shared" si="6"/>
        <v>statInverseMillsRatioMinM</v>
      </c>
      <c r="K220" s="2" t="s">
        <v>896</v>
      </c>
      <c r="L220" s="2" t="s">
        <v>334</v>
      </c>
      <c r="M220" s="10" t="str">
        <f t="shared" si="7"/>
        <v>No</v>
      </c>
      <c r="S220" s="10" t="s">
        <v>973</v>
      </c>
    </row>
    <row r="221" spans="1:21" ht="13.5" customHeight="1" x14ac:dyDescent="0.2">
      <c r="A221" s="10" t="s">
        <v>296</v>
      </c>
      <c r="B221" s="10"/>
      <c r="C221" s="10" t="str" cm="1">
        <f t="array" ref="C221">_xlfn.IFS(S221 = Modules!$A$2,Modules!$B$2,S221 = Modules!$A$3,Modules!$B$3,S221 = Modules!$A$4,Modules!$B$4,S221 = Modules!$A$5,Modules!$B$5,S221 = Modules!$A$6,Modules!$B$6,S221 = Modules!$A$7,Modules!$B$7,S221 = Modules!$A$8,Modules!$B$8,S221 = Modules!$A$9,Modules!$B$9,S221 = Modules!$A$10,Modules!$B$10,S221 = Modules!$A$11,Modules!$B$11,S221 = Modules!$A$12,Modules!$B$12, S221 = Modules!$A$13,Modules!$B$13)</f>
        <v>stat</v>
      </c>
      <c r="D221" s="2" t="s">
        <v>1188</v>
      </c>
      <c r="E221" s="10"/>
      <c r="F221" s="10"/>
      <c r="G221" s="2" t="s">
        <v>1050</v>
      </c>
      <c r="H221" s="10" t="s">
        <v>1057</v>
      </c>
      <c r="I221" s="10"/>
      <c r="J221" s="10" t="str">
        <f t="shared" si="6"/>
        <v>statInvest18to29Avg</v>
      </c>
      <c r="K221" s="6" t="s">
        <v>831</v>
      </c>
      <c r="L221" s="10" t="s">
        <v>1032</v>
      </c>
      <c r="M221" s="10" t="str">
        <f t="shared" si="7"/>
        <v>No</v>
      </c>
      <c r="R221" s="4" t="s">
        <v>794</v>
      </c>
      <c r="S221" s="2" t="s">
        <v>973</v>
      </c>
    </row>
    <row r="222" spans="1:21" ht="13.5" customHeight="1" x14ac:dyDescent="0.2">
      <c r="A222" s="10" t="s">
        <v>297</v>
      </c>
      <c r="B222" s="10"/>
      <c r="C222" s="10" t="str" cm="1">
        <f t="array" ref="C222">_xlfn.IFS(S222 = Modules!$A$2,Modules!$B$2,S222 = Modules!$A$3,Modules!$B$3,S222 = Modules!$A$4,Modules!$B$4,S222 = Modules!$A$5,Modules!$B$5,S222 = Modules!$A$6,Modules!$B$6,S222 = Modules!$A$7,Modules!$B$7,S222 = Modules!$A$8,Modules!$B$8,S222 = Modules!$A$9,Modules!$B$9,S222 = Modules!$A$10,Modules!$B$10,S222 = Modules!$A$11,Modules!$B$11,S222 = Modules!$A$12,Modules!$B$12, S222 = Modules!$A$13,Modules!$B$13)</f>
        <v>stat</v>
      </c>
      <c r="D222" s="2" t="s">
        <v>1188</v>
      </c>
      <c r="E222" s="10"/>
      <c r="F222" s="10"/>
      <c r="G222" s="2" t="s">
        <v>1051</v>
      </c>
      <c r="H222" s="10" t="s">
        <v>1057</v>
      </c>
      <c r="I222" s="10"/>
      <c r="J222" s="10" t="str">
        <f t="shared" si="6"/>
        <v>statInvest30to54Avg</v>
      </c>
      <c r="K222" s="6" t="s">
        <v>832</v>
      </c>
      <c r="L222" s="10" t="s">
        <v>1032</v>
      </c>
      <c r="M222" s="10" t="str">
        <f t="shared" si="7"/>
        <v>No</v>
      </c>
      <c r="R222" s="4" t="s">
        <v>794</v>
      </c>
      <c r="S222" s="2" t="s">
        <v>973</v>
      </c>
    </row>
    <row r="223" spans="1:21" ht="13.5" customHeight="1" x14ac:dyDescent="0.2">
      <c r="A223" s="10" t="s">
        <v>298</v>
      </c>
      <c r="B223" s="10"/>
      <c r="C223" s="10" t="str" cm="1">
        <f t="array" ref="C223">_xlfn.IFS(S223 = Modules!$A$2,Modules!$B$2,S223 = Modules!$A$3,Modules!$B$3,S223 = Modules!$A$4,Modules!$B$4,S223 = Modules!$A$5,Modules!$B$5,S223 = Modules!$A$6,Modules!$B$6,S223 = Modules!$A$7,Modules!$B$7,S223 = Modules!$A$8,Modules!$B$8,S223 = Modules!$A$9,Modules!$B$9,S223 = Modules!$A$10,Modules!$B$10,S223 = Modules!$A$11,Modules!$B$11,S223 = Modules!$A$12,Modules!$B$12, S223 = Modules!$A$13,Modules!$B$13)</f>
        <v>stat</v>
      </c>
      <c r="D223" s="2" t="s">
        <v>1188</v>
      </c>
      <c r="E223" s="10"/>
      <c r="F223" s="10"/>
      <c r="G223" s="2" t="s">
        <v>1052</v>
      </c>
      <c r="H223" s="10" t="s">
        <v>1057</v>
      </c>
      <c r="I223" s="10"/>
      <c r="J223" s="10" t="str">
        <f t="shared" si="6"/>
        <v>statInvest55to74Avg</v>
      </c>
      <c r="K223" s="6" t="s">
        <v>833</v>
      </c>
      <c r="L223" s="10" t="s">
        <v>1032</v>
      </c>
      <c r="M223" s="10" t="str">
        <f t="shared" si="7"/>
        <v>No</v>
      </c>
      <c r="R223" s="4" t="s">
        <v>794</v>
      </c>
      <c r="S223" s="2" t="s">
        <v>973</v>
      </c>
    </row>
    <row r="224" spans="1:21" ht="13.5" customHeight="1" x14ac:dyDescent="0.2">
      <c r="A224" s="2" t="s">
        <v>185</v>
      </c>
      <c r="C224" s="10" t="str" cm="1">
        <f t="array" ref="C224">_xlfn.IFS(S224 = Modules!$A$2,Modules!$B$2,S224 = Modules!$A$3,Modules!$B$3,S224 = Modules!$A$4,Modules!$B$4,S224 = Modules!$A$5,Modules!$B$5,S224 = Modules!$A$6,Modules!$B$6,S224 = Modules!$A$7,Modules!$B$7,S224 = Modules!$A$8,Modules!$B$8,S224 = Modules!$A$9,Modules!$B$9,S224 = Modules!$A$10,Modules!$B$10,S224 = Modules!$A$11,Modules!$B$11,S224 = Modules!$A$12,Modules!$B$12, S224 = Modules!$A$13,Modules!$B$13)</f>
        <v>y</v>
      </c>
      <c r="D224" s="2" t="s">
        <v>1188</v>
      </c>
      <c r="I224" s="2" t="s">
        <v>706</v>
      </c>
      <c r="J224" s="10" t="str">
        <f t="shared" si="6"/>
        <v>yInvestYear</v>
      </c>
      <c r="K224" s="2" t="s">
        <v>725</v>
      </c>
      <c r="L224" s="2" t="s">
        <v>451</v>
      </c>
      <c r="M224" s="10" t="str">
        <f t="shared" si="7"/>
        <v>No</v>
      </c>
      <c r="S224" s="2" t="s">
        <v>480</v>
      </c>
    </row>
    <row r="225" spans="1:21" ht="13.5" customHeight="1" x14ac:dyDescent="0.2">
      <c r="A225" s="10" t="s">
        <v>299</v>
      </c>
      <c r="B225" s="10"/>
      <c r="C225" s="10" t="str" cm="1">
        <f t="array" ref="C225">_xlfn.IFS(S225 = Modules!$A$2,Modules!$B$2,S225 = Modules!$A$3,Modules!$B$3,S225 = Modules!$A$4,Modules!$B$4,S225 = Modules!$A$5,Modules!$B$5,S225 = Modules!$A$6,Modules!$B$6,S225 = Modules!$A$7,Modules!$B$7,S225 = Modules!$A$8,Modules!$B$8,S225 = Modules!$A$9,Modules!$B$9,S225 = Modules!$A$10,Modules!$B$10,S225 = Modules!$A$11,Modules!$B$11,S225 = Modules!$A$12,Modules!$B$12, S225 = Modules!$A$13,Modules!$B$13)</f>
        <v>stat</v>
      </c>
      <c r="D225" s="2" t="s">
        <v>1188</v>
      </c>
      <c r="E225" s="10"/>
      <c r="F225" s="10" t="s">
        <v>1189</v>
      </c>
      <c r="G225" s="2" t="s">
        <v>1050</v>
      </c>
      <c r="H225" s="10" t="s">
        <v>1057</v>
      </c>
      <c r="I225" s="10"/>
      <c r="J225" s="10" t="str">
        <f t="shared" si="6"/>
        <v>statInvestLoss18to29Avg</v>
      </c>
      <c r="K225" s="6" t="s">
        <v>834</v>
      </c>
      <c r="L225" s="10" t="s">
        <v>1032</v>
      </c>
      <c r="M225" s="10" t="str">
        <f t="shared" si="7"/>
        <v>No</v>
      </c>
      <c r="R225" s="4" t="s">
        <v>794</v>
      </c>
      <c r="S225" s="2" t="s">
        <v>973</v>
      </c>
    </row>
    <row r="226" spans="1:21" ht="13.5" customHeight="1" x14ac:dyDescent="0.2">
      <c r="A226" s="10" t="s">
        <v>300</v>
      </c>
      <c r="B226" s="10"/>
      <c r="C226" s="10" t="str" cm="1">
        <f t="array" ref="C226">_xlfn.IFS(S226 = Modules!$A$2,Modules!$B$2,S226 = Modules!$A$3,Modules!$B$3,S226 = Modules!$A$4,Modules!$B$4,S226 = Modules!$A$5,Modules!$B$5,S226 = Modules!$A$6,Modules!$B$6,S226 = Modules!$A$7,Modules!$B$7,S226 = Modules!$A$8,Modules!$B$8,S226 = Modules!$A$9,Modules!$B$9,S226 = Modules!$A$10,Modules!$B$10,S226 = Modules!$A$11,Modules!$B$11,S226 = Modules!$A$12,Modules!$B$12, S226 = Modules!$A$13,Modules!$B$13)</f>
        <v>stat</v>
      </c>
      <c r="D226" s="2" t="s">
        <v>1188</v>
      </c>
      <c r="E226" s="10"/>
      <c r="F226" s="10" t="s">
        <v>1189</v>
      </c>
      <c r="G226" s="2" t="s">
        <v>1051</v>
      </c>
      <c r="H226" s="10" t="s">
        <v>1057</v>
      </c>
      <c r="I226" s="10"/>
      <c r="J226" s="10" t="str">
        <f t="shared" si="6"/>
        <v>statInvestLoss30to54Avg</v>
      </c>
      <c r="K226" s="6" t="s">
        <v>835</v>
      </c>
      <c r="L226" s="10" t="s">
        <v>1032</v>
      </c>
      <c r="M226" s="10" t="str">
        <f t="shared" si="7"/>
        <v>No</v>
      </c>
      <c r="R226" s="4" t="s">
        <v>794</v>
      </c>
      <c r="S226" s="2" t="s">
        <v>973</v>
      </c>
    </row>
    <row r="227" spans="1:21" ht="13.5" customHeight="1" x14ac:dyDescent="0.2">
      <c r="A227" s="10" t="s">
        <v>301</v>
      </c>
      <c r="B227" s="10"/>
      <c r="C227" s="10" t="str" cm="1">
        <f t="array" ref="C227">_xlfn.IFS(S227 = Modules!$A$2,Modules!$B$2,S227 = Modules!$A$3,Modules!$B$3,S227 = Modules!$A$4,Modules!$B$4,S227 = Modules!$A$5,Modules!$B$5,S227 = Modules!$A$6,Modules!$B$6,S227 = Modules!$A$7,Modules!$B$7,S227 = Modules!$A$8,Modules!$B$8,S227 = Modules!$A$9,Modules!$B$9,S227 = Modules!$A$10,Modules!$B$10,S227 = Modules!$A$11,Modules!$B$11,S227 = Modules!$A$12,Modules!$B$12, S227 = Modules!$A$13,Modules!$B$13)</f>
        <v>stat</v>
      </c>
      <c r="D227" s="2" t="s">
        <v>1188</v>
      </c>
      <c r="E227" s="10"/>
      <c r="F227" s="10" t="s">
        <v>1189</v>
      </c>
      <c r="G227" s="2" t="s">
        <v>1052</v>
      </c>
      <c r="H227" s="10" t="s">
        <v>1057</v>
      </c>
      <c r="I227" s="10"/>
      <c r="J227" s="10" t="str">
        <f t="shared" si="6"/>
        <v>statInvestLoss55to74Avg</v>
      </c>
      <c r="K227" s="6" t="s">
        <v>836</v>
      </c>
      <c r="L227" s="10" t="s">
        <v>1032</v>
      </c>
      <c r="M227" s="10" t="str">
        <f t="shared" si="7"/>
        <v>No</v>
      </c>
      <c r="R227" s="4" t="s">
        <v>794</v>
      </c>
      <c r="S227" s="2" t="s">
        <v>973</v>
      </c>
    </row>
    <row r="228" spans="1:21" ht="13.5" customHeight="1" x14ac:dyDescent="0.2">
      <c r="A228" s="2" t="s">
        <v>332</v>
      </c>
      <c r="C228" s="10" t="str" cm="1">
        <f t="array" ref="C228">_xlfn.IFS(S228 = Modules!$A$2,Modules!$B$2,S228 = Modules!$A$3,Modules!$B$3,S228 = Modules!$A$4,Modules!$B$4,S228 = Modules!$A$5,Modules!$B$5,S228 = Modules!$A$6,Modules!$B$6,S228 = Modules!$A$7,Modules!$B$7,S228 = Modules!$A$8,Modules!$B$8,S228 = Modules!$A$9,Modules!$B$9,S228 = Modules!$A$10,Modules!$B$10,S228 = Modules!$A$11,Modules!$B$11,S228 = Modules!$A$12,Modules!$B$12, S228 = Modules!$A$13,Modules!$B$13)</f>
        <v>dem</v>
      </c>
      <c r="D228" s="2" t="s">
        <v>1190</v>
      </c>
      <c r="H228" s="2" t="s">
        <v>981</v>
      </c>
      <c r="J228" s="10" t="str">
        <f t="shared" si="6"/>
        <v>demIoFlag</v>
      </c>
      <c r="K228" s="2" t="s">
        <v>863</v>
      </c>
      <c r="L228" s="2" t="s">
        <v>334</v>
      </c>
      <c r="M228" s="10" t="str">
        <f t="shared" si="7"/>
        <v>No</v>
      </c>
      <c r="S228" s="2" t="s">
        <v>975</v>
      </c>
    </row>
    <row r="229" spans="1:21" ht="13.5" customHeight="1" x14ac:dyDescent="0.2">
      <c r="A229" s="2" t="s">
        <v>355</v>
      </c>
      <c r="C229" s="10" t="str" cm="1">
        <f t="array" ref="C229">_xlfn.IFS(S229 = Modules!$A$2,Modules!$B$2,S229 = Modules!$A$3,Modules!$B$3,S229 = Modules!$A$4,Modules!$B$4,S229 = Modules!$A$5,Modules!$B$5,S229 = Modules!$A$6,Modules!$B$6,S229 = Modules!$A$7,Modules!$B$7,S229 = Modules!$A$8,Modules!$B$8,S229 = Modules!$A$9,Modules!$B$9,S229 = Modules!$A$10,Modules!$B$10,S229 = Modules!$A$11,Modules!$B$11,S229 = Modules!$A$12,Modules!$B$12, S229 = Modules!$A$13,Modules!$B$13)</f>
        <v>dem</v>
      </c>
      <c r="D229" s="2" t="s">
        <v>1112</v>
      </c>
      <c r="H229" s="2" t="s">
        <v>981</v>
      </c>
      <c r="I229" s="2" t="s">
        <v>1063</v>
      </c>
      <c r="J229" s="10" t="str">
        <f t="shared" si="6"/>
        <v>demPrptyFlagL1</v>
      </c>
      <c r="K229" s="2" t="s">
        <v>870</v>
      </c>
      <c r="L229" s="2" t="s">
        <v>334</v>
      </c>
      <c r="M229" s="10" t="str">
        <f t="shared" si="7"/>
        <v>No</v>
      </c>
      <c r="S229" s="2" t="s">
        <v>975</v>
      </c>
    </row>
    <row r="230" spans="1:21" ht="13.5" customHeight="1" x14ac:dyDescent="0.2">
      <c r="A230" s="2" t="s">
        <v>24</v>
      </c>
      <c r="C230" s="10" t="str" cm="1">
        <f t="array" ref="C230">_xlfn.IFS(S230 = Modules!$A$2,Modules!$B$2,S230 = Modules!$A$3,Modules!$B$3,S230 = Modules!$A$4,Modules!$B$4,S230 = Modules!$A$5,Modules!$B$5,S230 = Modules!$A$6,Modules!$B$6,S230 = Modules!$A$7,Modules!$B$7,S230 = Modules!$A$8,Modules!$B$8,S230 = Modules!$A$9,Modules!$B$9,S230 = Modules!$A$10,Modules!$B$10,S230 = Modules!$A$11,Modules!$B$11,S230 = Modules!$A$12,Modules!$B$12, S230 = Modules!$A$13,Modules!$B$13)</f>
        <v>lab</v>
      </c>
      <c r="D230" s="2" t="s">
        <v>533</v>
      </c>
      <c r="J230" s="10" t="str">
        <f t="shared" si="6"/>
        <v>labStatus</v>
      </c>
      <c r="K230" s="7" t="s">
        <v>456</v>
      </c>
      <c r="L230" s="2" t="s">
        <v>170</v>
      </c>
      <c r="M230" s="10" t="str">
        <f t="shared" si="7"/>
        <v>Yes</v>
      </c>
      <c r="N230" s="2" t="s">
        <v>24</v>
      </c>
      <c r="O230" s="2" t="s">
        <v>521</v>
      </c>
      <c r="S230" s="2" t="s">
        <v>475</v>
      </c>
      <c r="U230" s="2" t="s">
        <v>629</v>
      </c>
    </row>
    <row r="231" spans="1:21" ht="13.5" customHeight="1" x14ac:dyDescent="0.2">
      <c r="A231" s="10" t="s">
        <v>229</v>
      </c>
      <c r="B231" s="10"/>
      <c r="C231" s="10" t="str" cm="1">
        <f t="array" ref="C231">_xlfn.IFS(S231 = Modules!$A$2,Modules!$B$2,S231 = Modules!$A$3,Modules!$B$3,S231 = Modules!$A$4,Modules!$B$4,S231 = Modules!$A$5,Modules!$B$5,S231 = Modules!$A$6,Modules!$B$6,S231 = Modules!$A$7,Modules!$B$7,S231 = Modules!$A$8,Modules!$B$8,S231 = Modules!$A$9,Modules!$B$9,S231 = Modules!$A$10,Modules!$B$10,S231 = Modules!$A$11,Modules!$B$11,S231 = Modules!$A$12,Modules!$B$12, S231 = Modules!$A$13,Modules!$B$13)</f>
        <v>lab</v>
      </c>
      <c r="D231" s="2" t="s">
        <v>1098</v>
      </c>
      <c r="E231" s="10"/>
      <c r="F231" s="10"/>
      <c r="G231" s="10" t="s">
        <v>1158</v>
      </c>
      <c r="H231" s="10"/>
      <c r="I231" s="10" t="s">
        <v>1191</v>
      </c>
      <c r="J231" s="10" t="str">
        <f t="shared" si="6"/>
        <v>labWageFullTimeHrlyL1</v>
      </c>
      <c r="K231" s="2" t="s">
        <v>749</v>
      </c>
      <c r="L231" s="10" t="s">
        <v>334</v>
      </c>
      <c r="M231" s="10" t="str">
        <f t="shared" si="7"/>
        <v>No</v>
      </c>
      <c r="S231" s="2" t="s">
        <v>475</v>
      </c>
    </row>
    <row r="232" spans="1:21" ht="13.5" customHeight="1" x14ac:dyDescent="0.2">
      <c r="A232" s="2" t="s">
        <v>1274</v>
      </c>
      <c r="C232" s="2" t="str" cm="1">
        <f t="array" ref="C232">_xlfn.IFS(S232 = Modules!$A$2,Modules!$B$2,S232 = Modules!$A$3,Modules!$B$3,S232 = Modules!$A$4,Modules!$B$4,S232 = Modules!$A$5,Modules!$B$5,S232 = Modules!$A$6,Modules!$B$6,S232 = Modules!$A$7,Modules!$B$7,S232 = Modules!$A$8,Modules!$B$8,S232 = Modules!$A$9,Modules!$B$9,S232 = Modules!$A$10,Modules!$B$10,S232 = Modules!$A$11,Modules!$B$11,S232 = Modules!$A$12,Modules!$B$12, S232 = Modules!$A$13,Modules!$B$13)</f>
        <v>lab</v>
      </c>
      <c r="D232" s="2" t="s">
        <v>533</v>
      </c>
      <c r="H232" s="2" t="s">
        <v>1102</v>
      </c>
      <c r="J232" s="2" t="str">
        <f t="shared" si="6"/>
        <v>labStatusC3</v>
      </c>
      <c r="K232" s="2" t="s">
        <v>1329</v>
      </c>
      <c r="L232" s="2" t="s">
        <v>170</v>
      </c>
      <c r="M232" s="10" t="str">
        <f t="shared" si="7"/>
        <v>Yes</v>
      </c>
      <c r="P232" s="6" t="s">
        <v>1271</v>
      </c>
      <c r="Q232" s="6" t="s">
        <v>1253</v>
      </c>
      <c r="S232" s="6" t="s">
        <v>475</v>
      </c>
    </row>
    <row r="233" spans="1:21" ht="13.5" customHeight="1" x14ac:dyDescent="0.2">
      <c r="A233" s="2" t="s">
        <v>1275</v>
      </c>
      <c r="C233" s="2" t="str" cm="1">
        <f t="array" ref="C233">_xlfn.IFS(S233 = Modules!$A$2,Modules!$B$2,S233 = Modules!$A$3,Modules!$B$3,S233 = Modules!$A$4,Modules!$B$4,S233 = Modules!$A$5,Modules!$B$5,S233 = Modules!$A$6,Modules!$B$6,S233 = Modules!$A$7,Modules!$B$7,S233 = Modules!$A$8,Modules!$B$8,S233 = Modules!$A$9,Modules!$B$9,S233 = Modules!$A$10,Modules!$B$10,S233 = Modules!$A$11,Modules!$B$11,S233 = Modules!$A$12,Modules!$B$12, S233 = Modules!$A$13,Modules!$B$13)</f>
        <v>lab</v>
      </c>
      <c r="D233" s="2" t="s">
        <v>533</v>
      </c>
      <c r="H233" s="2" t="s">
        <v>1117</v>
      </c>
      <c r="J233" s="2" t="str">
        <f t="shared" si="6"/>
        <v>labStatusC4</v>
      </c>
      <c r="K233" s="2" t="s">
        <v>492</v>
      </c>
      <c r="L233" s="2" t="s">
        <v>170</v>
      </c>
      <c r="M233" s="10" t="str">
        <f t="shared" si="7"/>
        <v>Yes</v>
      </c>
      <c r="P233" s="6" t="s">
        <v>1271</v>
      </c>
      <c r="Q233" s="6" t="s">
        <v>1253</v>
      </c>
      <c r="S233" s="6" t="s">
        <v>475</v>
      </c>
    </row>
    <row r="234" spans="1:21" ht="16" x14ac:dyDescent="0.2">
      <c r="A234" s="10" t="s">
        <v>140</v>
      </c>
      <c r="B234" s="10"/>
      <c r="C234" s="10" t="str" cm="1">
        <f t="array" ref="C234">_xlfn.IFS(S234 = Modules!$A$2,Modules!$B$2,S234 = Modules!$A$3,Modules!$B$3,S234 = Modules!$A$4,Modules!$B$4,S234 = Modules!$A$5,Modules!$B$5,S234 = Modules!$A$6,Modules!$B$6,S234 = Modules!$A$7,Modules!$B$7,S234 = Modules!$A$8,Modules!$B$8,S234 = Modules!$A$9,Modules!$B$9,S234 = Modules!$A$10,Modules!$B$10,S234 = Modules!$A$11,Modules!$B$11,S234 = Modules!$A$12,Modules!$B$12, S234 = Modules!$A$13,Modules!$B$13)</f>
        <v>lab</v>
      </c>
      <c r="D234" s="2" t="s">
        <v>1174</v>
      </c>
      <c r="E234" s="10"/>
      <c r="F234" s="10"/>
      <c r="G234" s="10"/>
      <c r="H234" s="10"/>
      <c r="I234" s="10" t="s">
        <v>1239</v>
      </c>
      <c r="J234" s="10" t="str">
        <f t="shared" si="6"/>
        <v>labHrsWorkWeekL1</v>
      </c>
      <c r="K234" s="2" t="s">
        <v>667</v>
      </c>
      <c r="L234" s="8" t="s">
        <v>334</v>
      </c>
      <c r="M234" s="10" t="str">
        <f t="shared" si="7"/>
        <v>Yes</v>
      </c>
      <c r="N234" s="2" t="s">
        <v>666</v>
      </c>
      <c r="O234" s="2" t="s">
        <v>521</v>
      </c>
      <c r="S234" s="2" t="s">
        <v>475</v>
      </c>
    </row>
    <row r="235" spans="1:21" ht="16" x14ac:dyDescent="0.2">
      <c r="A235" s="2" t="s">
        <v>1318</v>
      </c>
      <c r="C235" s="2" t="str" cm="1">
        <f t="array" ref="C235">_xlfn.IFS(S235 = Modules!$A$2,Modules!$B$2,S235 = Modules!$A$3,Modules!$B$3,S235 = Modules!$A$4,Modules!$B$4,S235 = Modules!$A$5,Modules!$B$5,S235 = Modules!$A$6,Modules!$B$6,S235 = Modules!$A$7,Modules!$B$7,S235 = Modules!$A$8,Modules!$B$8,S235 = Modules!$A$9,Modules!$B$9,S235 = Modules!$A$10,Modules!$B$10,S235 = Modules!$A$11,Modules!$B$11,S235 = Modules!$A$12,Modules!$B$12, S235 = Modules!$A$13,Modules!$B$13)</f>
        <v>lab</v>
      </c>
      <c r="D235" s="2" t="s">
        <v>1098</v>
      </c>
      <c r="I235" s="2" t="s">
        <v>1191</v>
      </c>
      <c r="J235" s="2" t="str">
        <f t="shared" si="6"/>
        <v>labWageHrlyL1</v>
      </c>
      <c r="K235" s="2" t="s">
        <v>1364</v>
      </c>
      <c r="L235" s="2" t="s">
        <v>170</v>
      </c>
      <c r="M235" s="10" t="str">
        <f t="shared" si="7"/>
        <v>No</v>
      </c>
      <c r="S235" s="2" t="s">
        <v>475</v>
      </c>
    </row>
    <row r="236" spans="1:21" ht="13.5" customHeight="1" x14ac:dyDescent="0.2">
      <c r="A236" s="2" t="s">
        <v>146</v>
      </c>
      <c r="C236" s="10" t="str" cm="1">
        <f t="array" ref="C236">_xlfn.IFS(S236 = Modules!$A$2,Modules!$B$2,S236 = Modules!$A$3,Modules!$B$3,S236 = Modules!$A$4,Modules!$B$4,S236 = Modules!$A$5,Modules!$B$5,S236 = Modules!$A$6,Modules!$B$6,S236 = Modules!$A$7,Modules!$B$7,S236 = Modules!$A$8,Modules!$B$8,S236 = Modules!$A$9,Modules!$B$9,S236 = Modules!$A$10,Modules!$B$10,S236 = Modules!$A$11,Modules!$B$11,S236 = Modules!$A$12,Modules!$B$12, S236 = Modules!$A$13,Modules!$B$13)</f>
        <v>lab</v>
      </c>
      <c r="D236" s="2" t="s">
        <v>1098</v>
      </c>
      <c r="E236" s="10"/>
      <c r="F236" s="10"/>
      <c r="G236" s="10"/>
      <c r="H236" s="10"/>
      <c r="I236" s="10" t="s">
        <v>1191</v>
      </c>
      <c r="J236" s="10" t="str">
        <f t="shared" si="6"/>
        <v>labWageHrlyL1</v>
      </c>
      <c r="K236" s="2" t="s">
        <v>676</v>
      </c>
      <c r="L236" s="8" t="s">
        <v>334</v>
      </c>
      <c r="M236" s="10" t="str">
        <f t="shared" si="7"/>
        <v>Yes</v>
      </c>
      <c r="N236" s="2" t="s">
        <v>675</v>
      </c>
      <c r="O236" s="2" t="s">
        <v>521</v>
      </c>
      <c r="S236" s="2" t="s">
        <v>475</v>
      </c>
    </row>
    <row r="237" spans="1:21" ht="13.5" customHeight="1" x14ac:dyDescent="0.2">
      <c r="A237" s="2" t="s">
        <v>447</v>
      </c>
      <c r="B237" s="2" t="s">
        <v>1235</v>
      </c>
      <c r="C237" s="10" t="str" cm="1">
        <f t="array" ref="C237">_xlfn.IFS(S237 = Modules!$A$2,Modules!$B$2,S237 = Modules!$A$3,Modules!$B$3,S237 = Modules!$A$4,Modules!$B$4,S237 = Modules!$A$5,Modules!$B$5,S237 = Modules!$A$6,Modules!$B$6,S237 = Modules!$A$7,Modules!$B$7,S237 = Modules!$A$8,Modules!$B$8,S237 = Modules!$A$9,Modules!$B$9,S237 = Modules!$A$10,Modules!$B$10,S237 = Modules!$A$11,Modules!$B$11,S237 = Modules!$A$12,Modules!$B$12, S237 = Modules!$A$13,Modules!$B$13)</f>
        <v>lab</v>
      </c>
      <c r="D237" s="2" t="s">
        <v>1174</v>
      </c>
      <c r="E237" s="10"/>
      <c r="F237" s="10"/>
      <c r="G237" s="4">
        <v>1</v>
      </c>
      <c r="H237" s="10"/>
      <c r="I237" s="10" t="s">
        <v>1015</v>
      </c>
      <c r="J237" s="10" t="str">
        <f t="shared" si="6"/>
        <v>i_labHrsWork1Week</v>
      </c>
      <c r="K237" s="2" t="s">
        <v>1404</v>
      </c>
      <c r="L237" s="2" t="s">
        <v>451</v>
      </c>
      <c r="M237" s="10" t="str">
        <f t="shared" si="7"/>
        <v>No</v>
      </c>
      <c r="S237" s="2" t="s">
        <v>475</v>
      </c>
    </row>
    <row r="238" spans="1:21" ht="13.5" customHeight="1" x14ac:dyDescent="0.2">
      <c r="A238" s="2" t="s">
        <v>448</v>
      </c>
      <c r="B238" s="2" t="s">
        <v>1235</v>
      </c>
      <c r="C238" s="10" t="str" cm="1">
        <f t="array" ref="C238">_xlfn.IFS(S238 = Modules!$A$2,Modules!$B$2,S238 = Modules!$A$3,Modules!$B$3,S238 = Modules!$A$4,Modules!$B$4,S238 = Modules!$A$5,Modules!$B$5,S238 = Modules!$A$6,Modules!$B$6,S238 = Modules!$A$7,Modules!$B$7,S238 = Modules!$A$8,Modules!$B$8,S238 = Modules!$A$9,Modules!$B$9,S238 = Modules!$A$10,Modules!$B$10,S238 = Modules!$A$11,Modules!$B$11,S238 = Modules!$A$12,Modules!$B$12, S238 = Modules!$A$13,Modules!$B$13)</f>
        <v>lab</v>
      </c>
      <c r="D238" s="2" t="s">
        <v>1174</v>
      </c>
      <c r="E238" s="10"/>
      <c r="F238" s="10"/>
      <c r="G238" s="4">
        <v>2</v>
      </c>
      <c r="H238" s="10"/>
      <c r="I238" s="10" t="s">
        <v>1015</v>
      </c>
      <c r="J238" s="10" t="str">
        <f t="shared" si="6"/>
        <v>i_labHrsWork2Week</v>
      </c>
      <c r="K238" s="2" t="s">
        <v>1405</v>
      </c>
      <c r="L238" s="2" t="s">
        <v>451</v>
      </c>
      <c r="M238" s="10" t="str">
        <f t="shared" si="7"/>
        <v>No</v>
      </c>
      <c r="S238" s="2" t="s">
        <v>475</v>
      </c>
    </row>
    <row r="239" spans="1:21" ht="16" x14ac:dyDescent="0.2">
      <c r="A239" s="10" t="s">
        <v>302</v>
      </c>
      <c r="B239" s="10"/>
      <c r="C239" s="10" t="str" cm="1">
        <f t="array" ref="C239">_xlfn.IFS(S239 = Modules!$A$2,Modules!$B$2,S239 = Modules!$A$3,Modules!$B$3,S239 = Modules!$A$4,Modules!$B$4,S239 = Modules!$A$5,Modules!$B$5,S239 = Modules!$A$6,Modules!$B$6,S239 = Modules!$A$7,Modules!$B$7,S239 = Modules!$A$8,Modules!$B$8,S239 = Modules!$A$9,Modules!$B$9,S239 = Modules!$A$10,Modules!$B$10,S239 = Modules!$A$11,Modules!$B$11,S239 = Modules!$A$12,Modules!$B$12, S239 = Modules!$A$13,Modules!$B$13)</f>
        <v>stat</v>
      </c>
      <c r="D239" s="2" t="s">
        <v>1168</v>
      </c>
      <c r="E239" s="10"/>
      <c r="F239" s="10"/>
      <c r="G239" s="2" t="s">
        <v>1050</v>
      </c>
      <c r="H239" s="10" t="s">
        <v>1057</v>
      </c>
      <c r="I239" s="10"/>
      <c r="J239" s="10" t="str">
        <f t="shared" si="6"/>
        <v>statLab18to29Avg</v>
      </c>
      <c r="K239" s="6" t="s">
        <v>837</v>
      </c>
      <c r="L239" s="10" t="s">
        <v>1032</v>
      </c>
      <c r="M239" s="10" t="str">
        <f t="shared" si="7"/>
        <v>No</v>
      </c>
      <c r="R239" s="4" t="s">
        <v>794</v>
      </c>
      <c r="S239" s="2" t="s">
        <v>973</v>
      </c>
    </row>
    <row r="240" spans="1:21" ht="13.5" customHeight="1" x14ac:dyDescent="0.2">
      <c r="A240" s="10" t="s">
        <v>303</v>
      </c>
      <c r="B240" s="10"/>
      <c r="C240" s="10" t="str" cm="1">
        <f t="array" ref="C240">_xlfn.IFS(S240 = Modules!$A$2,Modules!$B$2,S240 = Modules!$A$3,Modules!$B$3,S240 = Modules!$A$4,Modules!$B$4,S240 = Modules!$A$5,Modules!$B$5,S240 = Modules!$A$6,Modules!$B$6,S240 = Modules!$A$7,Modules!$B$7,S240 = Modules!$A$8,Modules!$B$8,S240 = Modules!$A$9,Modules!$B$9,S240 = Modules!$A$10,Modules!$B$10,S240 = Modules!$A$11,Modules!$B$11,S240 = Modules!$A$12,Modules!$B$12, S240 = Modules!$A$13,Modules!$B$13)</f>
        <v>stat</v>
      </c>
      <c r="D240" s="2" t="s">
        <v>1168</v>
      </c>
      <c r="E240" s="10"/>
      <c r="F240" s="10"/>
      <c r="G240" s="2" t="s">
        <v>1051</v>
      </c>
      <c r="H240" s="10" t="s">
        <v>1057</v>
      </c>
      <c r="I240" s="10"/>
      <c r="J240" s="10" t="str">
        <f t="shared" si="6"/>
        <v>statLab30to54Avg</v>
      </c>
      <c r="K240" s="6" t="s">
        <v>838</v>
      </c>
      <c r="L240" s="10" t="s">
        <v>1032</v>
      </c>
      <c r="M240" s="10" t="str">
        <f t="shared" si="7"/>
        <v>No</v>
      </c>
      <c r="R240" s="4" t="s">
        <v>794</v>
      </c>
      <c r="S240" s="2" t="s">
        <v>973</v>
      </c>
    </row>
    <row r="241" spans="1:22" s="25" customFormat="1" ht="16" x14ac:dyDescent="0.2">
      <c r="A241" s="10" t="s">
        <v>304</v>
      </c>
      <c r="B241" s="10"/>
      <c r="C241" s="10" t="str" cm="1">
        <f t="array" ref="C241">_xlfn.IFS(S241 = Modules!$A$2,Modules!$B$2,S241 = Modules!$A$3,Modules!$B$3,S241 = Modules!$A$4,Modules!$B$4,S241 = Modules!$A$5,Modules!$B$5,S241 = Modules!$A$6,Modules!$B$6,S241 = Modules!$A$7,Modules!$B$7,S241 = Modules!$A$8,Modules!$B$8,S241 = Modules!$A$9,Modules!$B$9,S241 = Modules!$A$10,Modules!$B$10,S241 = Modules!$A$11,Modules!$B$11,S241 = Modules!$A$12,Modules!$B$12, S241 = Modules!$A$13,Modules!$B$13)</f>
        <v>stat</v>
      </c>
      <c r="D241" s="2" t="s">
        <v>1168</v>
      </c>
      <c r="E241" s="10"/>
      <c r="F241" s="10"/>
      <c r="G241" s="2" t="s">
        <v>1052</v>
      </c>
      <c r="H241" s="10" t="s">
        <v>1057</v>
      </c>
      <c r="I241" s="10"/>
      <c r="J241" s="10" t="str">
        <f t="shared" si="6"/>
        <v>statLab55to74Avg</v>
      </c>
      <c r="K241" s="6" t="s">
        <v>839</v>
      </c>
      <c r="L241" s="10" t="s">
        <v>1032</v>
      </c>
      <c r="M241" s="10" t="str">
        <f t="shared" si="7"/>
        <v>No</v>
      </c>
      <c r="N241" s="2"/>
      <c r="O241" s="2"/>
      <c r="P241" s="2"/>
      <c r="Q241" s="2"/>
      <c r="R241" s="4" t="s">
        <v>794</v>
      </c>
      <c r="S241" s="2" t="s">
        <v>973</v>
      </c>
      <c r="T241" s="10"/>
      <c r="U241" s="2"/>
      <c r="V241" s="2"/>
    </row>
    <row r="242" spans="1:22" ht="16" x14ac:dyDescent="0.2">
      <c r="A242" s="2" t="s">
        <v>248</v>
      </c>
      <c r="C242" s="10" t="str" cm="1">
        <f t="array" ref="C242">_xlfn.IFS(S242 = Modules!$A$2,Modules!$B$2,S242 = Modules!$A$3,Modules!$B$3,S242 = Modules!$A$4,Modules!$B$4,S242 = Modules!$A$5,Modules!$B$5,S242 = Modules!$A$6,Modules!$B$6,S242 = Modules!$A$7,Modules!$B$7,S242 = Modules!$A$8,Modules!$B$8,S242 = Modules!$A$9,Modules!$B$9,S242 = Modules!$A$10,Modules!$B$10,S242 = Modules!$A$11,Modules!$B$11,S242 = Modules!$A$12,Modules!$B$12, S242 = Modules!$A$13,Modules!$B$13)</f>
        <v>lab</v>
      </c>
      <c r="D242" s="2" t="s">
        <v>1174</v>
      </c>
      <c r="E242" s="10"/>
      <c r="F242" s="10" t="s">
        <v>790</v>
      </c>
      <c r="G242" s="10"/>
      <c r="H242" s="10"/>
      <c r="I242" s="10" t="s">
        <v>1015</v>
      </c>
      <c r="J242" s="10" t="str">
        <f t="shared" si="6"/>
        <v>labHrsWorkEnumWeek</v>
      </c>
      <c r="K242" s="2" t="s">
        <v>773</v>
      </c>
      <c r="L242" s="10" t="s">
        <v>334</v>
      </c>
      <c r="M242" s="10" t="str">
        <f t="shared" si="7"/>
        <v>No</v>
      </c>
      <c r="S242" s="2" t="s">
        <v>475</v>
      </c>
      <c r="U242" s="2" t="s">
        <v>774</v>
      </c>
    </row>
    <row r="243" spans="1:22" ht="13.5" customHeight="1" x14ac:dyDescent="0.2">
      <c r="A243" s="2" t="s">
        <v>382</v>
      </c>
      <c r="C243" s="10" t="str" cm="1">
        <f t="array" ref="C243">_xlfn.IFS(S243 = Modules!$A$2,Modules!$B$2,S243 = Modules!$A$3,Modules!$B$3,S243 = Modules!$A$4,Modules!$B$4,S243 = Modules!$A$5,Modules!$B$5,S243 = Modules!$A$6,Modules!$B$6,S243 = Modules!$A$7,Modules!$B$7,S243 = Modules!$A$8,Modules!$B$8,S243 = Modules!$A$9,Modules!$B$9,S243 = Modules!$A$10,Modules!$B$10,S243 = Modules!$A$11,Modules!$B$11,S243 = Modules!$A$12,Modules!$B$12, S243 = Modules!$A$13,Modules!$B$13)</f>
        <v>lab</v>
      </c>
      <c r="D243" s="2" t="s">
        <v>1174</v>
      </c>
      <c r="E243" s="10"/>
      <c r="F243" s="10" t="s">
        <v>790</v>
      </c>
      <c r="G243" s="10"/>
      <c r="H243" s="10"/>
      <c r="I243" s="10" t="s">
        <v>1239</v>
      </c>
      <c r="J243" s="10" t="str">
        <f t="shared" si="6"/>
        <v>labHrsWorkEnumWeekL1</v>
      </c>
      <c r="K243" s="2" t="s">
        <v>775</v>
      </c>
      <c r="L243" s="2" t="s">
        <v>334</v>
      </c>
      <c r="M243" s="10" t="str">
        <f t="shared" si="7"/>
        <v>No</v>
      </c>
      <c r="S243" s="2" t="s">
        <v>475</v>
      </c>
    </row>
    <row r="244" spans="1:22" ht="48" x14ac:dyDescent="0.2">
      <c r="A244" s="2" t="s">
        <v>446</v>
      </c>
      <c r="C244" s="10" t="str" cm="1">
        <f t="array" ref="C244">_xlfn.IFS(S244 = Modules!$A$2,Modules!$B$2,S244 = Modules!$A$3,Modules!$B$3,S244 = Modules!$A$4,Modules!$B$4,S244 = Modules!$A$5,Modules!$B$5,S244 = Modules!$A$6,Modules!$B$6,S244 = Modules!$A$7,Modules!$B$7,S244 = Modules!$A$8,Modules!$B$8,S244 = Modules!$A$9,Modules!$B$9,S244 = Modules!$A$10,Modules!$B$10,S244 = Modules!$A$11,Modules!$B$11,S244 = Modules!$A$12,Modules!$B$12, S244 = Modules!$A$13,Modules!$B$13)</f>
        <v>lab</v>
      </c>
      <c r="D244" s="2" t="s">
        <v>1434</v>
      </c>
      <c r="G244" s="2" t="s">
        <v>1435</v>
      </c>
      <c r="J244" s="10" t="str">
        <f t="shared" si="6"/>
        <v>labPersistValueLabourInnov</v>
      </c>
      <c r="K244" s="2" t="s">
        <v>1433</v>
      </c>
      <c r="L244" s="2" t="s">
        <v>451</v>
      </c>
      <c r="M244" s="10" t="str">
        <f t="shared" si="7"/>
        <v>No</v>
      </c>
      <c r="S244" s="2" t="s">
        <v>475</v>
      </c>
    </row>
    <row r="245" spans="1:22" ht="32" x14ac:dyDescent="0.2">
      <c r="A245" s="2" t="s">
        <v>369</v>
      </c>
      <c r="C245" s="10" t="str" cm="1">
        <f t="array" ref="C245">_xlfn.IFS(S245 = Modules!$A$2,Modules!$B$2,S245 = Modules!$A$3,Modules!$B$3,S245 = Modules!$A$4,Modules!$B$4,S245 = Modules!$A$5,Modules!$B$5,S245 = Modules!$A$6,Modules!$B$6,S245 = Modules!$A$7,Modules!$B$7,S245 = Modules!$A$8,Modules!$B$8,S245 = Modules!$A$9,Modules!$B$9,S245 = Modules!$A$10,Modules!$B$10,S245 = Modules!$A$11,Modules!$B$11,S245 = Modules!$A$12,Modules!$B$12, S245 = Modules!$A$13,Modules!$B$13)</f>
        <v>dem</v>
      </c>
      <c r="D245" s="2" t="s">
        <v>1192</v>
      </c>
      <c r="E245" s="2" t="s">
        <v>1087</v>
      </c>
      <c r="H245" s="2" t="s">
        <v>981</v>
      </c>
      <c r="J245" s="10" t="str">
        <f t="shared" si="6"/>
        <v>demLeavePartnerFlag</v>
      </c>
      <c r="K245" s="2" t="s">
        <v>402</v>
      </c>
      <c r="L245" s="2" t="s">
        <v>334</v>
      </c>
      <c r="M245" s="10" t="str">
        <f t="shared" si="7"/>
        <v>No</v>
      </c>
      <c r="S245" s="2" t="s">
        <v>975</v>
      </c>
    </row>
    <row r="246" spans="1:22" ht="13.5" customHeight="1" x14ac:dyDescent="0.2">
      <c r="A246" s="2" t="s">
        <v>403</v>
      </c>
      <c r="C246" s="10" t="str" cm="1">
        <f t="array" ref="C246">_xlfn.IFS(S246 = Modules!$A$2,Modules!$B$2,S246 = Modules!$A$3,Modules!$B$3,S246 = Modules!$A$4,Modules!$B$4,S246 = Modules!$A$5,Modules!$B$5,S246 = Modules!$A$6,Modules!$B$6,S246 = Modules!$A$7,Modules!$B$7,S246 = Modules!$A$8,Modules!$B$8,S246 = Modules!$A$9,Modules!$B$9,S246 = Modules!$A$10,Modules!$B$10,S246 = Modules!$A$11,Modules!$B$11,S246 = Modules!$A$12,Modules!$B$12, S246 = Modules!$A$13,Modules!$B$13)</f>
        <v>edu</v>
      </c>
      <c r="D246" s="2" t="s">
        <v>1193</v>
      </c>
      <c r="E246" s="2" t="s">
        <v>1194</v>
      </c>
      <c r="H246" s="2" t="s">
        <v>981</v>
      </c>
      <c r="J246" s="10" t="str">
        <f>CONCATENATE(B246, C246,D246,E246,F246,G246,H246,I246)</f>
        <v>eduLeftEduFlag</v>
      </c>
      <c r="K246" s="2" t="s">
        <v>876</v>
      </c>
      <c r="L246" s="2" t="s">
        <v>334</v>
      </c>
      <c r="M246" s="10" t="str">
        <f t="shared" si="7"/>
        <v>No</v>
      </c>
      <c r="S246" s="2" t="s">
        <v>544</v>
      </c>
    </row>
    <row r="247" spans="1:22" ht="13.5" customHeight="1" x14ac:dyDescent="0.2">
      <c r="A247" s="2" t="s">
        <v>404</v>
      </c>
      <c r="C247" s="10" t="str" cm="1">
        <f t="array" ref="C247">_xlfn.IFS(S247 = Modules!$A$2,Modules!$B$2,S247 = Modules!$A$3,Modules!$B$3,S247 = Modules!$A$4,Modules!$B$4,S247 = Modules!$A$5,Modules!$B$5,S247 = Modules!$A$6,Modules!$B$6,S247 = Modules!$A$7,Modules!$B$7,S247 = Modules!$A$8,Modules!$B$8,S247 = Modules!$A$9,Modules!$B$9,S247 = Modules!$A$10,Modules!$B$10,S247 = Modules!$A$11,Modules!$B$11,S247 = Modules!$A$12,Modules!$B$12, S247 = Modules!$A$13,Modules!$B$13)</f>
        <v>dem</v>
      </c>
      <c r="D247" s="2" t="s">
        <v>1193</v>
      </c>
      <c r="E247" s="2" t="s">
        <v>1087</v>
      </c>
      <c r="H247" s="2" t="s">
        <v>981</v>
      </c>
      <c r="J247" s="10" t="str">
        <f t="shared" si="6"/>
        <v>demLeftPartnerFlag</v>
      </c>
      <c r="K247" s="2" t="s">
        <v>877</v>
      </c>
      <c r="L247" s="2" t="s">
        <v>334</v>
      </c>
      <c r="M247" s="10" t="str">
        <f t="shared" si="7"/>
        <v>No</v>
      </c>
      <c r="S247" s="2" t="s">
        <v>975</v>
      </c>
    </row>
    <row r="248" spans="1:22" ht="13.5" customHeight="1" x14ac:dyDescent="0.2">
      <c r="A248" s="2" t="s">
        <v>132</v>
      </c>
      <c r="C248" s="10" t="str" cm="1">
        <f t="array" ref="C248">_xlfn.IFS(S248 = Modules!$A$2,Modules!$B$2,S248 = Modules!$A$3,Modules!$B$3,S248 = Modules!$A$4,Modules!$B$4,S248 = Modules!$A$5,Modules!$B$5,S248 = Modules!$A$6,Modules!$B$6,S248 = Modules!$A$7,Modules!$B$7,S248 = Modules!$A$8,Modules!$B$8,S248 = Modules!$A$9,Modules!$B$9,S248 = Modules!$A$10,Modules!$B$10,S248 = Modules!$A$11,Modules!$B$11,S248 = Modules!$A$12,Modules!$B$12, S248 = Modules!$A$13,Modules!$B$13)</f>
        <v>lab</v>
      </c>
      <c r="D248" s="2" t="s">
        <v>533</v>
      </c>
      <c r="H248" s="2" t="s">
        <v>1102</v>
      </c>
      <c r="J248" s="10" t="str">
        <f t="shared" si="6"/>
        <v>labStatusC3</v>
      </c>
      <c r="K248" s="6" t="s">
        <v>636</v>
      </c>
      <c r="L248" s="8" t="s">
        <v>334</v>
      </c>
      <c r="M248" s="10" t="str">
        <f t="shared" si="7"/>
        <v>Yes</v>
      </c>
      <c r="N248" s="6" t="s">
        <v>24</v>
      </c>
      <c r="O248" s="6" t="s">
        <v>521</v>
      </c>
      <c r="P248" s="6" t="s">
        <v>1271</v>
      </c>
      <c r="Q248" s="6" t="s">
        <v>1253</v>
      </c>
      <c r="S248" s="6" t="s">
        <v>475</v>
      </c>
      <c r="U248" s="6"/>
    </row>
    <row r="249" spans="1:22" ht="13.5" customHeight="1" x14ac:dyDescent="0.2">
      <c r="A249" s="2" t="s">
        <v>113</v>
      </c>
      <c r="C249" s="10" t="str" cm="1">
        <f t="array" ref="C249">_xlfn.IFS(S249 = Modules!$A$2,Modules!$B$2,S249 = Modules!$A$3,Modules!$B$3,S249 = Modules!$A$4,Modules!$B$4,S249 = Modules!$A$5,Modules!$B$5,S249 = Modules!$A$6,Modules!$B$6,S249 = Modules!$A$7,Modules!$B$7,S249 = Modules!$A$8,Modules!$B$8,S249 = Modules!$A$9,Modules!$B$9,S249 = Modules!$A$10,Modules!$B$10,S249 = Modules!$A$11,Modules!$B$11,S249 = Modules!$A$12,Modules!$B$12, S249 = Modules!$A$13,Modules!$B$13)</f>
        <v>lab</v>
      </c>
      <c r="H249" s="2" t="s">
        <v>1117</v>
      </c>
      <c r="J249" s="10" t="str">
        <f t="shared" si="6"/>
        <v>labC4</v>
      </c>
      <c r="K249" s="2" t="s">
        <v>476</v>
      </c>
      <c r="L249" s="2" t="s">
        <v>334</v>
      </c>
      <c r="M249" s="10" t="str">
        <f t="shared" si="7"/>
        <v>Yes</v>
      </c>
      <c r="N249" s="2" t="s">
        <v>24</v>
      </c>
      <c r="O249" s="2" t="s">
        <v>521</v>
      </c>
      <c r="P249" s="6" t="s">
        <v>1271</v>
      </c>
      <c r="Q249" s="6" t="s">
        <v>1253</v>
      </c>
      <c r="S249" s="2" t="s">
        <v>475</v>
      </c>
      <c r="U249" s="2" t="s">
        <v>115</v>
      </c>
    </row>
    <row r="250" spans="1:22" ht="13.5" customHeight="1" x14ac:dyDescent="0.2">
      <c r="A250" s="2" t="s">
        <v>335</v>
      </c>
      <c r="C250" s="10" t="str" cm="1">
        <f t="array" ref="C250">_xlfn.IFS(S250 = Modules!$A$2,Modules!$B$2,S250 = Modules!$A$3,Modules!$B$3,S250 = Modules!$A$4,Modules!$B$4,S250 = Modules!$A$5,Modules!$B$5,S250 = Modules!$A$6,Modules!$B$6,S250 = Modules!$A$7,Modules!$B$7,S250 = Modules!$A$8,Modules!$B$8,S250 = Modules!$A$9,Modules!$B$9,S250 = Modules!$A$10,Modules!$B$10,S250 = Modules!$A$11,Modules!$B$11,S250 = Modules!$A$12,Modules!$B$12, S250 = Modules!$A$13,Modules!$B$13)</f>
        <v>lab</v>
      </c>
      <c r="H250" s="2" t="s">
        <v>1117</v>
      </c>
      <c r="I250" s="2" t="s">
        <v>1063</v>
      </c>
      <c r="J250" s="10" t="str">
        <f t="shared" si="6"/>
        <v>labC4L1</v>
      </c>
      <c r="K250" s="2" t="s">
        <v>492</v>
      </c>
      <c r="L250" s="2" t="s">
        <v>334</v>
      </c>
      <c r="M250" s="10" t="str">
        <f t="shared" si="7"/>
        <v>No</v>
      </c>
      <c r="S250" s="2" t="s">
        <v>475</v>
      </c>
    </row>
    <row r="251" spans="1:22" ht="13.5" customHeight="1" x14ac:dyDescent="0.2">
      <c r="A251" s="2" t="s">
        <v>249</v>
      </c>
      <c r="C251" s="10" t="str" cm="1">
        <f t="array" ref="C251">_xlfn.IFS(S251 = Modules!$A$2,Modules!$B$2,S251 = Modules!$A$3,Modules!$B$3,S251 = Modules!$A$4,Modules!$B$4,S251 = Modules!$A$5,Modules!$B$5,S251 = Modules!$A$6,Modules!$B$6,S251 = Modules!$A$7,Modules!$B$7,S251 = Modules!$A$8,Modules!$B$8,S251 = Modules!$A$9,Modules!$B$9,S251 = Modules!$A$10,Modules!$B$10,S251 = Modules!$A$11,Modules!$B$11,S251 = Modules!$A$12,Modules!$B$12, S251 = Modules!$A$13,Modules!$B$13)</f>
        <v>lab</v>
      </c>
      <c r="H251" s="2" t="s">
        <v>1120</v>
      </c>
      <c r="I251" s="2" t="s">
        <v>974</v>
      </c>
      <c r="J251" s="10" t="str">
        <f t="shared" si="6"/>
        <v>labC7Covid</v>
      </c>
      <c r="K251" s="6" t="s">
        <v>711</v>
      </c>
      <c r="L251" s="2" t="s">
        <v>334</v>
      </c>
      <c r="M251" s="10" t="str">
        <f t="shared" si="7"/>
        <v>No</v>
      </c>
      <c r="N251" s="6"/>
      <c r="O251" s="6"/>
      <c r="P251" s="6"/>
      <c r="Q251" s="6"/>
      <c r="S251" s="6" t="s">
        <v>475</v>
      </c>
      <c r="U251" s="6" t="s">
        <v>790</v>
      </c>
    </row>
    <row r="252" spans="1:22" ht="13.5" customHeight="1" x14ac:dyDescent="0.2">
      <c r="A252" s="2" t="s">
        <v>336</v>
      </c>
      <c r="C252" s="10" t="str" cm="1">
        <f t="array" ref="C252">_xlfn.IFS(S252 = Modules!$A$2,Modules!$B$2,S252 = Modules!$A$3,Modules!$B$3,S252 = Modules!$A$4,Modules!$B$4,S252 = Modules!$A$5,Modules!$B$5,S252 = Modules!$A$6,Modules!$B$6,S252 = Modules!$A$7,Modules!$B$7,S252 = Modules!$A$8,Modules!$B$8,S252 = Modules!$A$9,Modules!$B$9,S252 = Modules!$A$10,Modules!$B$10,S252 = Modules!$A$11,Modules!$B$11,S252 = Modules!$A$12,Modules!$B$12, S252 = Modules!$A$13,Modules!$B$13)</f>
        <v>lab</v>
      </c>
      <c r="H252" s="2" t="s">
        <v>1120</v>
      </c>
      <c r="I252" s="2" t="s">
        <v>1195</v>
      </c>
      <c r="J252" s="10" t="str">
        <f t="shared" si="6"/>
        <v>labC7CovidL1</v>
      </c>
      <c r="K252" s="6" t="s">
        <v>493</v>
      </c>
      <c r="L252" s="2" t="s">
        <v>334</v>
      </c>
      <c r="M252" s="10" t="str">
        <f t="shared" si="7"/>
        <v>No</v>
      </c>
      <c r="N252" s="6"/>
      <c r="O252" s="6"/>
      <c r="P252" s="6"/>
      <c r="Q252" s="6"/>
      <c r="S252" s="6" t="s">
        <v>475</v>
      </c>
      <c r="U252" s="6"/>
    </row>
    <row r="253" spans="1:22" ht="13.5" customHeight="1" x14ac:dyDescent="0.2">
      <c r="A253" s="2" t="s">
        <v>68</v>
      </c>
      <c r="C253" s="10" t="str" cm="1">
        <f t="array" ref="C253">_xlfn.IFS(S253 = Modules!$A$2,Modules!$B$2,S253 = Modules!$A$3,Modules!$B$3,S253 = Modules!$A$4,Modules!$B$4,S253 = Modules!$A$5,Modules!$B$5,S253 = Modules!$A$6,Modules!$B$6,S253 = Modules!$A$7,Modules!$B$7,S253 = Modules!$A$8,Modules!$B$8,S253 = Modules!$A$9,Modules!$B$9,S253 = Modules!$A$10,Modules!$B$10,S253 = Modules!$A$11,Modules!$B$11,S253 = Modules!$A$12,Modules!$B$12, S253 = Modules!$A$13,Modules!$B$13)</f>
        <v>lab</v>
      </c>
      <c r="D253" s="2" t="s">
        <v>533</v>
      </c>
      <c r="E253" s="4" t="s">
        <v>1196</v>
      </c>
      <c r="H253" s="2" t="s">
        <v>1117</v>
      </c>
      <c r="J253" s="10" t="str">
        <f t="shared" si="6"/>
        <v>labStatusPartnerAndOwnC4</v>
      </c>
      <c r="K253" s="2" t="s">
        <v>940</v>
      </c>
      <c r="L253" s="2" t="s">
        <v>334</v>
      </c>
      <c r="M253" s="10" t="str">
        <f t="shared" si="7"/>
        <v>Yes</v>
      </c>
      <c r="N253" s="2" t="s">
        <v>640</v>
      </c>
      <c r="O253" s="2" t="s">
        <v>521</v>
      </c>
      <c r="P253" s="2" t="s">
        <v>1277</v>
      </c>
      <c r="Q253" s="6" t="s">
        <v>1253</v>
      </c>
      <c r="S253" s="2" t="s">
        <v>475</v>
      </c>
      <c r="U253" s="2" t="s">
        <v>70</v>
      </c>
    </row>
    <row r="254" spans="1:22" ht="13.5" customHeight="1" x14ac:dyDescent="0.2">
      <c r="A254" s="2" t="s">
        <v>360</v>
      </c>
      <c r="C254" s="10" t="str" cm="1">
        <f t="array" ref="C254">_xlfn.IFS(S254 = Modules!$A$2,Modules!$B$2,S254 = Modules!$A$3,Modules!$B$3,S254 = Modules!$A$4,Modules!$B$4,S254 = Modules!$A$5,Modules!$B$5,S254 = Modules!$A$6,Modules!$B$6,S254 = Modules!$A$7,Modules!$B$7,S254 = Modules!$A$8,Modules!$B$8,S254 = Modules!$A$9,Modules!$B$9,S254 = Modules!$A$10,Modules!$B$10,S254 = Modules!$A$11,Modules!$B$11,S254 = Modules!$A$12,Modules!$B$12, S254 = Modules!$A$13,Modules!$B$13)</f>
        <v>lab</v>
      </c>
      <c r="D254" s="2" t="s">
        <v>533</v>
      </c>
      <c r="E254" s="4" t="s">
        <v>1196</v>
      </c>
      <c r="H254" s="2" t="s">
        <v>1117</v>
      </c>
      <c r="I254" s="2" t="s">
        <v>1063</v>
      </c>
      <c r="J254" s="10" t="str">
        <f t="shared" si="6"/>
        <v>labStatusPartnerAndOwnC4L1</v>
      </c>
      <c r="K254" s="2" t="s">
        <v>494</v>
      </c>
      <c r="L254" s="2" t="s">
        <v>334</v>
      </c>
      <c r="M254" s="10" t="str">
        <f t="shared" si="7"/>
        <v>No</v>
      </c>
      <c r="S254" s="2" t="s">
        <v>475</v>
      </c>
    </row>
    <row r="255" spans="1:22" ht="13.5" customHeight="1" x14ac:dyDescent="0.2">
      <c r="A255" s="2" t="s">
        <v>137</v>
      </c>
      <c r="C255" s="10" t="str" cm="1">
        <f t="array" ref="C255">_xlfn.IFS(S255 = Modules!$A$2,Modules!$B$2,S255 = Modules!$A$3,Modules!$B$3,S255 = Modules!$A$4,Modules!$B$4,S255 = Modules!$A$5,Modules!$B$5,S255 = Modules!$A$6,Modules!$B$6,S255 = Modules!$A$7,Modules!$B$7,S255 = Modules!$A$8,Modules!$B$8,S255 = Modules!$A$9,Modules!$B$9,S255 = Modules!$A$10,Modules!$B$10,S255 = Modules!$A$11,Modules!$B$11,S255 = Modules!$A$12,Modules!$B$12, S255 = Modules!$A$13,Modules!$B$13)</f>
        <v>lab</v>
      </c>
      <c r="D255" s="2" t="s">
        <v>533</v>
      </c>
      <c r="E255" s="2" t="s">
        <v>1087</v>
      </c>
      <c r="H255" s="2" t="s">
        <v>1102</v>
      </c>
      <c r="J255" s="10" t="str">
        <f t="shared" si="6"/>
        <v>labStatusPartnerC3</v>
      </c>
      <c r="K255" s="6" t="s">
        <v>638</v>
      </c>
      <c r="L255" s="8" t="s">
        <v>334</v>
      </c>
      <c r="M255" s="10" t="str">
        <f t="shared" si="7"/>
        <v>Yes</v>
      </c>
      <c r="N255" s="6" t="s">
        <v>637</v>
      </c>
      <c r="O255" s="2" t="s">
        <v>521</v>
      </c>
      <c r="P255" s="2" t="s">
        <v>1276</v>
      </c>
      <c r="Q255" s="6" t="s">
        <v>1253</v>
      </c>
      <c r="S255" s="2" t="s">
        <v>475</v>
      </c>
    </row>
    <row r="256" spans="1:22" ht="13.5" customHeight="1" x14ac:dyDescent="0.2">
      <c r="A256" s="2" t="s">
        <v>114</v>
      </c>
      <c r="C256" s="10" t="str" cm="1">
        <f t="array" ref="C256">_xlfn.IFS(S256 = Modules!$A$2,Modules!$B$2,S256 = Modules!$A$3,Modules!$B$3,S256 = Modules!$A$4,Modules!$B$4,S256 = Modules!$A$5,Modules!$B$5,S256 = Modules!$A$6,Modules!$B$6,S256 = Modules!$A$7,Modules!$B$7,S256 = Modules!$A$8,Modules!$B$8,S256 = Modules!$A$9,Modules!$B$9,S256 = Modules!$A$10,Modules!$B$10,S256 = Modules!$A$11,Modules!$B$11,S256 = Modules!$A$12,Modules!$B$12, S256 = Modules!$A$13,Modules!$B$13)</f>
        <v>lab</v>
      </c>
      <c r="D256" s="2" t="s">
        <v>533</v>
      </c>
      <c r="E256" s="2" t="s">
        <v>1087</v>
      </c>
      <c r="H256" s="2" t="s">
        <v>1117</v>
      </c>
      <c r="J256" s="10" t="str">
        <f t="shared" si="6"/>
        <v>labStatusPartnerC4</v>
      </c>
      <c r="K256" s="2" t="s">
        <v>477</v>
      </c>
      <c r="L256" s="2" t="s">
        <v>170</v>
      </c>
      <c r="M256" s="10" t="str">
        <f t="shared" si="7"/>
        <v>Yes</v>
      </c>
      <c r="N256" s="6" t="s">
        <v>639</v>
      </c>
      <c r="O256" s="2" t="s">
        <v>521</v>
      </c>
      <c r="P256" s="2" t="s">
        <v>1276</v>
      </c>
      <c r="Q256" s="6" t="s">
        <v>1253</v>
      </c>
      <c r="S256" s="2" t="s">
        <v>475</v>
      </c>
      <c r="U256" s="2" t="s">
        <v>116</v>
      </c>
    </row>
    <row r="257" spans="1:21" ht="13.5" customHeight="1" x14ac:dyDescent="0.2">
      <c r="A257" s="10" t="s">
        <v>139</v>
      </c>
      <c r="B257" s="10"/>
      <c r="C257" s="10" t="str" cm="1">
        <f t="array" ref="C257">_xlfn.IFS(S257 = Modules!$A$2,Modules!$B$2,S257 = Modules!$A$3,Modules!$B$3,S257 = Modules!$A$4,Modules!$B$4,S257 = Modules!$A$5,Modules!$B$5,S257 = Modules!$A$6,Modules!$B$6,S257 = Modules!$A$7,Modules!$B$7,S257 = Modules!$A$8,Modules!$B$8,S257 = Modules!$A$9,Modules!$B$9,S257 = Modules!$A$10,Modules!$B$10,S257 = Modules!$A$11,Modules!$B$11,S257 = Modules!$A$12,Modules!$B$12, S257 = Modules!$A$13,Modules!$B$13)</f>
        <v>lab</v>
      </c>
      <c r="D257" s="2" t="s">
        <v>1174</v>
      </c>
      <c r="E257" s="10"/>
      <c r="F257" s="10"/>
      <c r="G257" s="10"/>
      <c r="H257" s="10"/>
      <c r="I257" s="10" t="s">
        <v>1015</v>
      </c>
      <c r="J257" s="10" t="str">
        <f t="shared" ref="J257:J320" si="8">CONCATENATE(B257, C257,D257,E257,F257,G257,H257,I257)</f>
        <v>labHrsWorkWeek</v>
      </c>
      <c r="K257" s="2" t="s">
        <v>665</v>
      </c>
      <c r="L257" s="8" t="s">
        <v>170</v>
      </c>
      <c r="M257" s="10" t="str">
        <f t="shared" ref="M257:M320" si="9">IF(OR(O257&lt;&gt;"", Q257&lt;&gt;""),"Yes","No")</f>
        <v>Yes</v>
      </c>
      <c r="N257" s="2" t="s">
        <v>664</v>
      </c>
      <c r="O257" s="2" t="s">
        <v>521</v>
      </c>
      <c r="P257" s="2" t="s">
        <v>1272</v>
      </c>
      <c r="Q257" s="6" t="s">
        <v>1253</v>
      </c>
      <c r="S257" s="2" t="s">
        <v>475</v>
      </c>
    </row>
    <row r="258" spans="1:21" ht="13.5" customHeight="1" x14ac:dyDescent="0.2">
      <c r="A258" s="2" t="s">
        <v>186</v>
      </c>
      <c r="C258" s="10" t="str" cm="1">
        <f t="array" ref="C258">_xlfn.IFS(S258 = Modules!$A$2,Modules!$B$2,S258 = Modules!$A$3,Modules!$B$3,S258 = Modules!$A$4,Modules!$B$4,S258 = Modules!$A$5,Modules!$B$5,S258 = Modules!$A$6,Modules!$B$6,S258 = Modules!$A$7,Modules!$B$7,S258 = Modules!$A$8,Modules!$B$8,S258 = Modules!$A$9,Modules!$B$9,S258 = Modules!$A$10,Modules!$B$10,S258 = Modules!$A$11,Modules!$B$11,S258 = Modules!$A$12,Modules!$B$12, S258 = Modules!$A$13,Modules!$B$13)</f>
        <v>wealth</v>
      </c>
      <c r="D258" s="2" t="s">
        <v>1197</v>
      </c>
      <c r="F258" s="2" t="s">
        <v>1175</v>
      </c>
      <c r="J258" s="10" t="str">
        <f t="shared" si="8"/>
        <v>wealthLiqValue</v>
      </c>
      <c r="K258" s="2" t="s">
        <v>726</v>
      </c>
      <c r="L258" s="2" t="s">
        <v>451</v>
      </c>
      <c r="M258" s="10" t="str">
        <f t="shared" si="9"/>
        <v>No</v>
      </c>
      <c r="S258" s="2" t="s">
        <v>478</v>
      </c>
      <c r="U258" s="2" t="s">
        <v>727</v>
      </c>
    </row>
    <row r="259" spans="1:21" s="22" customFormat="1" ht="13.5" customHeight="1" x14ac:dyDescent="0.2">
      <c r="A259" s="22" t="s">
        <v>337</v>
      </c>
      <c r="C259" s="23" t="str" cm="1">
        <f t="array" ref="C259">_xlfn.IFS(S259 = Modules!$A$2,Modules!$B$2,S259 = Modules!$A$3,Modules!$B$3,S259 = Modules!$A$4,Modules!$B$4,S259 = Modules!$A$5,Modules!$B$5,S259 = Modules!$A$6,Modules!$B$6,S259 = Modules!$A$7,Modules!$B$7,S259 = Modules!$A$8,Modules!$B$8,S259 = Modules!$A$9,Modules!$B$9,S259 = Modules!$A$10,Modules!$B$10,S259 = Modules!$A$11,Modules!$B$11,S259 = Modules!$A$12,Modules!$B$12, S259 = Modules!$A$13,Modules!$B$13)</f>
        <v>lab</v>
      </c>
      <c r="D259" s="22" t="s">
        <v>1198</v>
      </c>
      <c r="J259" s="23" t="str">
        <f t="shared" si="8"/>
        <v>labWorkHist</v>
      </c>
      <c r="K259" s="22" t="s">
        <v>338</v>
      </c>
      <c r="L259" s="22" t="s">
        <v>334</v>
      </c>
      <c r="M259" s="23" t="str">
        <f t="shared" si="9"/>
        <v>No</v>
      </c>
      <c r="R259" s="24"/>
      <c r="S259" s="22" t="s">
        <v>475</v>
      </c>
      <c r="T259" s="23"/>
    </row>
    <row r="260" spans="1:21" s="22" customFormat="1" ht="13.5" customHeight="1" x14ac:dyDescent="0.2">
      <c r="A260" s="26" t="s">
        <v>1278</v>
      </c>
      <c r="C260" s="22" t="str" cm="1">
        <f t="array" ref="C260">_xlfn.IFS(S260 = Modules!$A$2,Modules!$B$2,S260 = Modules!$A$3,Modules!$B$3,S260 = Modules!$A$4,Modules!$B$4,S260 = Modules!$A$5,Modules!$B$5,S260 = Modules!$A$6,Modules!$B$6,S260 = Modules!$A$7,Modules!$B$7,S260 = Modules!$A$8,Modules!$B$8,S260 = Modules!$A$9,Modules!$B$9,S260 = Modules!$A$10,Modules!$B$10,S260 = Modules!$A$11,Modules!$B$11,S260 = Modules!$A$12,Modules!$B$12, S260 = Modules!$A$13,Modules!$B$13)</f>
        <v>lab</v>
      </c>
      <c r="D260" s="22" t="s">
        <v>1209</v>
      </c>
      <c r="F260" s="22" t="s">
        <v>1330</v>
      </c>
      <c r="J260" s="22" t="str">
        <f t="shared" si="8"/>
        <v>labEmpNyear</v>
      </c>
      <c r="K260" s="22" t="s">
        <v>1331</v>
      </c>
      <c r="L260" s="22" t="s">
        <v>334</v>
      </c>
      <c r="M260" s="23" t="str">
        <f t="shared" si="9"/>
        <v>Yes</v>
      </c>
      <c r="P260" s="22" t="s">
        <v>1332</v>
      </c>
      <c r="Q260" s="26" t="s">
        <v>1253</v>
      </c>
      <c r="R260" s="24"/>
      <c r="S260" s="22" t="s">
        <v>475</v>
      </c>
      <c r="T260" s="23"/>
    </row>
    <row r="261" spans="1:21" ht="13.5" customHeight="1" x14ac:dyDescent="0.2">
      <c r="A261" s="2" t="s">
        <v>250</v>
      </c>
      <c r="C261" s="10" t="str" cm="1">
        <f t="array" ref="C261">_xlfn.IFS(S261 = Modules!$A$2,Modules!$B$2,S261 = Modules!$A$3,Modules!$B$3,S261 = Modules!$A$4,Modules!$B$4,S261 = Modules!$A$5,Modules!$B$5,S261 = Modules!$A$6,Modules!$B$6,S261 = Modules!$A$7,Modules!$B$7,S261 = Modules!$A$8,Modules!$B$8,S261 = Modules!$A$9,Modules!$B$9,S261 = Modules!$A$10,Modules!$B$10,S261 = Modules!$A$11,Modules!$B$11,S261 = Modules!$A$12,Modules!$B$12, S261 = Modules!$A$13,Modules!$B$13)</f>
        <v>lab</v>
      </c>
      <c r="D261" s="2" t="s">
        <v>1201</v>
      </c>
      <c r="G261" s="2" t="s">
        <v>1202</v>
      </c>
      <c r="H261" s="2" t="s">
        <v>981</v>
      </c>
      <c r="J261" s="10" t="str">
        <f t="shared" si="8"/>
        <v>labWageOfferLowFlag</v>
      </c>
      <c r="K261" s="2" t="s">
        <v>776</v>
      </c>
      <c r="L261" s="10" t="s">
        <v>334</v>
      </c>
      <c r="M261" s="10" t="str">
        <f t="shared" si="9"/>
        <v>No</v>
      </c>
      <c r="S261" s="2" t="s">
        <v>475</v>
      </c>
    </row>
    <row r="262" spans="1:21" ht="13.5" customHeight="1" x14ac:dyDescent="0.2">
      <c r="A262" s="2" t="s">
        <v>340</v>
      </c>
      <c r="C262" s="10" t="str" cm="1">
        <f t="array" ref="C262">_xlfn.IFS(S262 = Modules!$A$2,Modules!$B$2,S262 = Modules!$A$3,Modules!$B$3,S262 = Modules!$A$4,Modules!$B$4,S262 = Modules!$A$5,Modules!$B$5,S262 = Modules!$A$6,Modules!$B$6,S262 = Modules!$A$7,Modules!$B$7,S262 = Modules!$A$8,Modules!$B$8,S262 = Modules!$A$9,Modules!$B$9,S262 = Modules!$A$10,Modules!$B$10,S262 = Modules!$A$11,Modules!$B$11,S262 = Modules!$A$12,Modules!$B$12, S262 = Modules!$A$13,Modules!$B$13)</f>
        <v>lab</v>
      </c>
      <c r="D262" s="2" t="s">
        <v>1201</v>
      </c>
      <c r="G262" s="2" t="s">
        <v>1202</v>
      </c>
      <c r="H262" s="2" t="s">
        <v>981</v>
      </c>
      <c r="I262" s="2" t="s">
        <v>1063</v>
      </c>
      <c r="J262" s="10" t="str">
        <f t="shared" si="8"/>
        <v>labWageOfferLowFlagL1</v>
      </c>
      <c r="K262" s="2" t="s">
        <v>777</v>
      </c>
      <c r="L262" s="2" t="s">
        <v>334</v>
      </c>
      <c r="M262" s="10" t="str">
        <f t="shared" si="9"/>
        <v>No</v>
      </c>
      <c r="S262" s="2" t="s">
        <v>475</v>
      </c>
    </row>
    <row r="263" spans="1:21" ht="13.5" customHeight="1" x14ac:dyDescent="0.2">
      <c r="A263" s="2" t="s">
        <v>265</v>
      </c>
      <c r="C263" s="10" t="str" cm="1">
        <f t="array" ref="C263">_xlfn.IFS(S263 = Modules!$A$2,Modules!$B$2,S263 = Modules!$A$3,Modules!$B$3,S263 = Modules!$A$4,Modules!$B$4,S263 = Modules!$A$5,Modules!$B$5,S263 = Modules!$A$6,Modules!$B$6,S263 = Modules!$A$7,Modules!$B$7,S263 = Modules!$A$8,Modules!$B$8,S263 = Modules!$A$9,Modules!$B$9,S263 = Modules!$A$10,Modules!$B$10,S263 = Modules!$A$11,Modules!$B$11,S263 = Modules!$A$12,Modules!$B$12, S263 = Modules!$A$13,Modules!$B$13)</f>
        <v>y</v>
      </c>
      <c r="E263" s="2" t="s">
        <v>1116</v>
      </c>
      <c r="F263" s="2" t="s">
        <v>1150</v>
      </c>
      <c r="H263" s="2" t="s">
        <v>1105</v>
      </c>
      <c r="J263" s="10" t="str">
        <f t="shared" si="8"/>
        <v>yHhDispEquivP50</v>
      </c>
      <c r="K263" s="2" t="s">
        <v>800</v>
      </c>
      <c r="L263" s="10" t="s">
        <v>1032</v>
      </c>
      <c r="M263" s="10" t="str">
        <f t="shared" si="9"/>
        <v>No</v>
      </c>
      <c r="R263" s="4" t="s">
        <v>704</v>
      </c>
      <c r="S263" s="2" t="s">
        <v>480</v>
      </c>
    </row>
    <row r="264" spans="1:21" ht="13.5" customHeight="1" x14ac:dyDescent="0.2">
      <c r="A264" s="2" t="s">
        <v>1455</v>
      </c>
      <c r="C264" s="10" t="str" cm="1">
        <f t="array" ref="C264">_xlfn.IFS(S264 = Modules!$A$2,Modules!$B$2,S264 = Modules!$A$3,Modules!$B$3,S264 = Modules!$A$4,Modules!$B$4,S264 = Modules!$A$5,Modules!$B$5,S264 = Modules!$A$6,Modules!$B$6,S264 = Modules!$A$7,Modules!$B$7,S264 = Modules!$A$8,Modules!$B$8,S264 = Modules!$A$9,Modules!$B$9,S264 = Modules!$A$10,Modules!$B$10,S264 = Modules!$A$11,Modules!$B$11,S264 = Modules!$A$12,Modules!$B$12, S264 = Modules!$A$13,Modules!$B$13)</f>
        <v>wealth</v>
      </c>
      <c r="D264" s="2" t="s">
        <v>1456</v>
      </c>
      <c r="F264" s="2" t="s">
        <v>1175</v>
      </c>
      <c r="J264" s="10" t="str">
        <f t="shared" si="8"/>
        <v>wealthMortgageDebtValue</v>
      </c>
      <c r="K264" s="2" t="s">
        <v>1457</v>
      </c>
      <c r="L264" s="10" t="s">
        <v>451</v>
      </c>
      <c r="M264" s="10" t="str">
        <f t="shared" si="9"/>
        <v>Yes</v>
      </c>
      <c r="N264" s="2" t="s">
        <v>1458</v>
      </c>
      <c r="O264" s="2" t="s">
        <v>642</v>
      </c>
      <c r="S264" s="2" t="s">
        <v>478</v>
      </c>
    </row>
    <row r="265" spans="1:21" ht="13.5" customHeight="1" x14ac:dyDescent="0.2">
      <c r="A265" s="2" t="s">
        <v>143</v>
      </c>
      <c r="C265" s="10" t="str" cm="1">
        <f t="array" ref="C265">_xlfn.IFS(S265 = Modules!$A$2,Modules!$B$2,S265 = Modules!$A$3,Modules!$B$3,S265 = Modules!$A$4,Modules!$B$4,S265 = Modules!$A$5,Modules!$B$5,S265 = Modules!$A$6,Modules!$B$6,S265 = Modules!$A$7,Modules!$B$7,S265 = Modules!$A$8,Modules!$B$8,S265 = Modules!$A$9,Modules!$B$9,S265 = Modules!$A$10,Modules!$B$10,S265 = Modules!$A$11,Modules!$B$11,S265 = Modules!$A$12,Modules!$B$12, S265 = Modules!$A$13,Modules!$B$13)</f>
        <v>dem</v>
      </c>
      <c r="D265" s="2" t="s">
        <v>1406</v>
      </c>
      <c r="H265" s="2" t="s">
        <v>1053</v>
      </c>
      <c r="J265" s="10" t="str">
        <f t="shared" si="8"/>
        <v>demPopSurveyShare</v>
      </c>
      <c r="K265" s="2" t="s">
        <v>673</v>
      </c>
      <c r="L265" s="8" t="s">
        <v>170</v>
      </c>
      <c r="M265" s="10" t="str">
        <f t="shared" si="9"/>
        <v>Yes</v>
      </c>
      <c r="N265" s="2" t="s">
        <v>671</v>
      </c>
      <c r="O265" s="2" t="s">
        <v>669</v>
      </c>
      <c r="P265" s="2" t="s">
        <v>1357</v>
      </c>
      <c r="Q265" s="2" t="s">
        <v>1356</v>
      </c>
      <c r="S265" s="2" t="s">
        <v>975</v>
      </c>
    </row>
    <row r="266" spans="1:21" ht="13.5" customHeight="1" x14ac:dyDescent="0.2">
      <c r="A266" s="10" t="s">
        <v>199</v>
      </c>
      <c r="B266" s="10"/>
      <c r="C266" s="10" t="str" cm="1">
        <f t="array" ref="C266">_xlfn.IFS(S266 = Modules!$A$2,Modules!$B$2,S266 = Modules!$A$3,Modules!$B$3,S266 = Modules!$A$4,Modules!$B$4,S266 = Modules!$A$5,Modules!$B$5,S266 = Modules!$A$6,Modules!$B$6,S266 = Modules!$A$7,Modules!$B$7,S266 = Modules!$A$8,Modules!$B$8,S266 = Modules!$A$9,Modules!$B$9,S266 = Modules!$A$10,Modules!$B$10,S266 = Modules!$A$11,Modules!$B$11,S266 = Modules!$A$12,Modules!$B$12, S266 = Modules!$A$13,Modules!$B$13)</f>
        <v>health</v>
      </c>
      <c r="D266" s="2" t="s">
        <v>1415</v>
      </c>
      <c r="E266" s="10"/>
      <c r="F266" s="10"/>
      <c r="G266" s="10" t="s">
        <v>1416</v>
      </c>
      <c r="H266" s="10"/>
      <c r="I266" s="10"/>
      <c r="J266" s="10" t="str">
        <f t="shared" si="8"/>
        <v>healthNObsSubGroup</v>
      </c>
      <c r="K266" s="2" t="s">
        <v>1414</v>
      </c>
      <c r="L266" s="10" t="s">
        <v>1034</v>
      </c>
      <c r="M266" s="10" t="str">
        <f t="shared" si="9"/>
        <v>No</v>
      </c>
      <c r="R266" s="4" t="s">
        <v>605</v>
      </c>
      <c r="S266" s="2" t="s">
        <v>531</v>
      </c>
    </row>
    <row r="267" spans="1:21" ht="13.5" customHeight="1" x14ac:dyDescent="0.2">
      <c r="A267" s="2" t="s">
        <v>147</v>
      </c>
      <c r="C267" s="10" t="str" cm="1">
        <f t="array" ref="C267">_xlfn.IFS(S267 = Modules!$A$2,Modules!$B$2,S267 = Modules!$A$3,Modules!$B$3,S267 = Modules!$A$4,Modules!$B$4,S267 = Modules!$A$5,Modules!$B$5,S267 = Modules!$A$6,Modules!$B$6,S267 = Modules!$A$7,Modules!$B$7,S267 = Modules!$A$8,Modules!$B$8,S267 = Modules!$A$9,Modules!$B$9,S267 = Modules!$A$10,Modules!$B$10,S267 = Modules!$A$11,Modules!$B$11,S267 = Modules!$A$12,Modules!$B$12, S267 = Modules!$A$13,Modules!$B$13)</f>
        <v>care</v>
      </c>
      <c r="D267" s="2" t="s">
        <v>1203</v>
      </c>
      <c r="H267" s="2" t="s">
        <v>981</v>
      </c>
      <c r="J267" s="10" t="str">
        <f t="shared" si="8"/>
        <v>careNeedFlag</v>
      </c>
      <c r="K267" s="2" t="s">
        <v>680</v>
      </c>
      <c r="L267" s="8" t="s">
        <v>1034</v>
      </c>
      <c r="M267" s="10" t="str">
        <f t="shared" si="9"/>
        <v>Yes</v>
      </c>
      <c r="N267" s="2" t="s">
        <v>678</v>
      </c>
      <c r="O267" s="2" t="s">
        <v>679</v>
      </c>
      <c r="S267" s="2" t="s">
        <v>971</v>
      </c>
    </row>
    <row r="268" spans="1:21" ht="13.5" customHeight="1" x14ac:dyDescent="0.2">
      <c r="A268" s="2" t="s">
        <v>251</v>
      </c>
      <c r="C268" s="10" t="str" cm="1">
        <f t="array" ref="C268">_xlfn.IFS(S268 = Modules!$A$2,Modules!$B$2,S268 = Modules!$A$3,Modules!$B$3,S268 = Modules!$A$4,Modules!$B$4,S268 = Modules!$A$5,Modules!$B$5,S268 = Modules!$A$6,Modules!$B$6,S268 = Modules!$A$7,Modules!$B$7,S268 = Modules!$A$8,Modules!$B$8,S268 = Modules!$A$9,Modules!$B$9,S268 = Modules!$A$10,Modules!$B$10,S268 = Modules!$A$11,Modules!$B$11,S268 = Modules!$A$12,Modules!$B$12, S268 = Modules!$A$13,Modules!$B$13)</f>
        <v>care</v>
      </c>
      <c r="D268" s="2" t="s">
        <v>1203</v>
      </c>
      <c r="H268" s="2" t="s">
        <v>981</v>
      </c>
      <c r="J268" s="10" t="str">
        <f t="shared" si="8"/>
        <v>careNeedFlag</v>
      </c>
      <c r="K268" s="2" t="s">
        <v>778</v>
      </c>
      <c r="L268" s="10" t="s">
        <v>334</v>
      </c>
      <c r="M268" s="10" t="str">
        <f t="shared" si="9"/>
        <v>No</v>
      </c>
      <c r="S268" s="2" t="s">
        <v>971</v>
      </c>
    </row>
    <row r="269" spans="1:21" ht="13.5" customHeight="1" x14ac:dyDescent="0.2">
      <c r="A269" s="2" t="s">
        <v>348</v>
      </c>
      <c r="C269" s="10" t="str" cm="1">
        <f t="array" ref="C269">_xlfn.IFS(S269 = Modules!$A$2,Modules!$B$2,S269 = Modules!$A$3,Modules!$B$3,S269 = Modules!$A$4,Modules!$B$4,S269 = Modules!$A$5,Modules!$B$5,S269 = Modules!$A$6,Modules!$B$6,S269 = Modules!$A$7,Modules!$B$7,S269 = Modules!$A$8,Modules!$B$8,S269 = Modules!$A$9,Modules!$B$9,S269 = Modules!$A$10,Modules!$B$10,S269 = Modules!$A$11,Modules!$B$11,S269 = Modules!$A$12,Modules!$B$12, S269 = Modules!$A$13,Modules!$B$13)</f>
        <v>care</v>
      </c>
      <c r="D269" s="2" t="s">
        <v>1203</v>
      </c>
      <c r="H269" s="2" t="s">
        <v>981</v>
      </c>
      <c r="I269" s="2" t="s">
        <v>1063</v>
      </c>
      <c r="J269" s="10" t="str">
        <f t="shared" si="8"/>
        <v>careNeedFlagL1</v>
      </c>
      <c r="K269" s="2" t="s">
        <v>779</v>
      </c>
      <c r="L269" s="10" t="s">
        <v>334</v>
      </c>
      <c r="M269" s="10" t="str">
        <f t="shared" si="9"/>
        <v>No</v>
      </c>
      <c r="S269" s="2" t="s">
        <v>971</v>
      </c>
    </row>
    <row r="270" spans="1:21" ht="16" x14ac:dyDescent="0.2">
      <c r="A270" s="6" t="s">
        <v>1269</v>
      </c>
      <c r="C270" s="2" t="str" cm="1">
        <f t="array" ref="C270">_xlfn.IFS(S270 = Modules!$A$2,Modules!$B$2,S270 = Modules!$A$3,Modules!$B$3,S270 = Modules!$A$4,Modules!$B$4,S270 = Modules!$A$5,Modules!$B$5,S270 = Modules!$A$6,Modules!$B$6,S270 = Modules!$A$7,Modules!$B$7,S270 = Modules!$A$8,Modules!$B$8,S270 = Modules!$A$9,Modules!$B$9,S270 = Modules!$A$10,Modules!$B$10,S270 = Modules!$A$11,Modules!$B$11,S270 = Modules!$A$12,Modules!$B$12, S270 = Modules!$A$13,Modules!$B$13)</f>
        <v>dem</v>
      </c>
      <c r="D270" s="2" t="s">
        <v>1089</v>
      </c>
      <c r="E270" s="2" t="s">
        <v>1087</v>
      </c>
      <c r="H270" s="2" t="s">
        <v>981</v>
      </c>
      <c r="J270" s="2" t="str">
        <f t="shared" si="8"/>
        <v>demEnterPartnerFlag</v>
      </c>
      <c r="K270" s="2" t="s">
        <v>1327</v>
      </c>
      <c r="L270" s="2" t="s">
        <v>334</v>
      </c>
      <c r="M270" s="10" t="str">
        <f t="shared" si="9"/>
        <v>Yes</v>
      </c>
      <c r="P270" s="2" t="s">
        <v>1325</v>
      </c>
      <c r="Q270" s="6" t="s">
        <v>1253</v>
      </c>
      <c r="S270" s="2" t="s">
        <v>975</v>
      </c>
    </row>
    <row r="271" spans="1:21" ht="13.5" customHeight="1" x14ac:dyDescent="0.2">
      <c r="A271" s="2" t="s">
        <v>405</v>
      </c>
      <c r="C271" s="10" t="str" cm="1">
        <f t="array" ref="C271">_xlfn.IFS(S271 = Modules!$A$2,Modules!$B$2,S271 = Modules!$A$3,Modules!$B$3,S271 = Modules!$A$4,Modules!$B$4,S271 = Modules!$A$5,Modules!$B$5,S271 = Modules!$A$6,Modules!$B$6,S271 = Modules!$A$7,Modules!$B$7,S271 = Modules!$A$8,Modules!$B$8,S271 = Modules!$A$9,Modules!$B$9,S271 = Modules!$A$10,Modules!$B$10,S271 = Modules!$A$11,Modules!$B$11,S271 = Modules!$A$12,Modules!$B$12, S271 = Modules!$A$13,Modules!$B$13)</f>
        <v>lab</v>
      </c>
      <c r="D271" s="2" t="s">
        <v>1174</v>
      </c>
      <c r="G271" s="2" t="s">
        <v>1204</v>
      </c>
      <c r="I271" s="2" t="s">
        <v>1063</v>
      </c>
      <c r="J271" s="10" t="str">
        <f t="shared" si="8"/>
        <v>labHrsWorkNewL1</v>
      </c>
      <c r="K271" s="2" t="s">
        <v>406</v>
      </c>
      <c r="L271" s="2" t="s">
        <v>334</v>
      </c>
      <c r="M271" s="10" t="str">
        <f t="shared" si="9"/>
        <v>No</v>
      </c>
      <c r="S271" s="2" t="s">
        <v>475</v>
      </c>
    </row>
    <row r="272" spans="1:21" ht="13.5" customHeight="1" x14ac:dyDescent="0.2">
      <c r="A272" s="10" t="s">
        <v>195</v>
      </c>
      <c r="B272" s="10"/>
      <c r="C272" s="10" t="str" cm="1">
        <f t="array" ref="C272">_xlfn.IFS(S272 = Modules!$A$2,Modules!$B$2,S272 = Modules!$A$3,Modules!$B$3,S272 = Modules!$A$4,Modules!$B$4,S272 = Modules!$A$5,Modules!$B$5,S272 = Modules!$A$6,Modules!$B$6,S272 = Modules!$A$7,Modules!$B$7,S272 = Modules!$A$8,Modules!$B$8,S272 = Modules!$A$9,Modules!$B$9,S272 = Modules!$A$10,Modules!$B$10,S272 = Modules!$A$11,Modules!$B$11,S272 = Modules!$A$12,Modules!$B$12, S272 = Modules!$A$13,Modules!$B$13)</f>
        <v>lab</v>
      </c>
      <c r="D272" s="10" t="s">
        <v>195</v>
      </c>
      <c r="E272" s="10"/>
      <c r="F272" s="10"/>
      <c r="G272" s="10"/>
      <c r="H272" s="2" t="s">
        <v>1053</v>
      </c>
      <c r="I272" s="10"/>
      <c r="J272" s="10" t="str">
        <f t="shared" si="8"/>
        <v>labNotEmpToEmpShare</v>
      </c>
      <c r="K272" s="2" t="s">
        <v>740</v>
      </c>
      <c r="L272" s="10" t="s">
        <v>1035</v>
      </c>
      <c r="M272" s="10" t="str">
        <f t="shared" si="9"/>
        <v>No</v>
      </c>
      <c r="R272" s="4" t="s">
        <v>745</v>
      </c>
      <c r="S272" s="2" t="s">
        <v>475</v>
      </c>
    </row>
    <row r="273" spans="1:22" s="10" customFormat="1" ht="13.5" customHeight="1" x14ac:dyDescent="0.2">
      <c r="A273" s="2" t="s">
        <v>419</v>
      </c>
      <c r="B273" s="2" t="s">
        <v>1235</v>
      </c>
      <c r="C273" s="10" t="str" cm="1">
        <f t="array" ref="C273">_xlfn.IFS(S273 = Modules!$A$2,Modules!$B$2,S273 = Modules!$A$3,Modules!$B$3,S273 = Modules!$A$4,Modules!$B$4,S273 = Modules!$A$5,Modules!$B$5,S273 = Modules!$A$6,Modules!$B$6,S273 = Modules!$A$7,Modules!$B$7,S273 = Modules!$A$8,Modules!$B$8,S273 = Modules!$A$9,Modules!$B$9,S273 = Modules!$A$10,Modules!$B$10,S273 = Modules!$A$11,Modules!$B$11,S273 = Modules!$A$12,Modules!$B$12, S273 = Modules!$A$13,Modules!$B$13)</f>
        <v>dem</v>
      </c>
      <c r="D273" s="2" t="s">
        <v>1064</v>
      </c>
      <c r="E273" s="2"/>
      <c r="F273" s="2"/>
      <c r="G273" s="2" t="s">
        <v>1236</v>
      </c>
      <c r="H273" s="2"/>
      <c r="I273" s="2"/>
      <c r="J273" s="10" t="str">
        <f t="shared" si="8"/>
        <v>i_demNchild0to17</v>
      </c>
      <c r="K273" s="2" t="s">
        <v>892</v>
      </c>
      <c r="L273" s="2" t="s">
        <v>334</v>
      </c>
      <c r="M273" s="10" t="str">
        <f t="shared" si="9"/>
        <v>No</v>
      </c>
      <c r="N273" s="2"/>
      <c r="O273" s="2"/>
      <c r="P273" s="2"/>
      <c r="Q273" s="2"/>
      <c r="R273" s="4"/>
      <c r="S273" s="2" t="s">
        <v>975</v>
      </c>
      <c r="U273" s="2" t="s">
        <v>884</v>
      </c>
      <c r="V273" s="2"/>
    </row>
    <row r="274" spans="1:22" s="10" customFormat="1" ht="13.5" customHeight="1" x14ac:dyDescent="0.2">
      <c r="A274" s="2" t="s">
        <v>418</v>
      </c>
      <c r="B274" s="2" t="s">
        <v>1235</v>
      </c>
      <c r="C274" s="10" t="str" cm="1">
        <f t="array" ref="C274">_xlfn.IFS(S274 = Modules!$A$2,Modules!$B$2,S274 = Modules!$A$3,Modules!$B$3,S274 = Modules!$A$4,Modules!$B$4,S274 = Modules!$A$5,Modules!$B$5,S274 = Modules!$A$6,Modules!$B$6,S274 = Modules!$A$7,Modules!$B$7,S274 = Modules!$A$8,Modules!$B$8,S274 = Modules!$A$9,Modules!$B$9,S274 = Modules!$A$10,Modules!$B$10,S274 = Modules!$A$11,Modules!$B$11,S274 = Modules!$A$12,Modules!$B$12, S274 = Modules!$A$13,Modules!$B$13)</f>
        <v>dem</v>
      </c>
      <c r="D274" s="2" t="s">
        <v>1064</v>
      </c>
      <c r="E274" s="2"/>
      <c r="F274" s="2"/>
      <c r="G274" s="2" t="s">
        <v>1142</v>
      </c>
      <c r="H274" s="2"/>
      <c r="I274" s="2" t="s">
        <v>1063</v>
      </c>
      <c r="J274" s="10" t="str">
        <f t="shared" si="8"/>
        <v>i_demNchild0to2L1</v>
      </c>
      <c r="K274" s="2" t="s">
        <v>893</v>
      </c>
      <c r="L274" s="2" t="s">
        <v>334</v>
      </c>
      <c r="M274" s="10" t="str">
        <f t="shared" si="9"/>
        <v>No</v>
      </c>
      <c r="N274" s="2"/>
      <c r="O274" s="2"/>
      <c r="P274" s="2"/>
      <c r="Q274" s="2"/>
      <c r="R274" s="4"/>
      <c r="S274" s="2" t="s">
        <v>975</v>
      </c>
      <c r="U274" s="2" t="s">
        <v>884</v>
      </c>
      <c r="V274" s="2"/>
    </row>
    <row r="275" spans="1:22" ht="13.5" customHeight="1" x14ac:dyDescent="0.2">
      <c r="A275" s="2" t="s">
        <v>417</v>
      </c>
      <c r="B275" s="2" t="s">
        <v>1235</v>
      </c>
      <c r="C275" s="10" t="str" cm="1">
        <f t="array" ref="C275">_xlfn.IFS(S275 = Modules!$A$2,Modules!$B$2,S275 = Modules!$A$3,Modules!$B$3,S275 = Modules!$A$4,Modules!$B$4,S275 = Modules!$A$5,Modules!$B$5,S275 = Modules!$A$6,Modules!$B$6,S275 = Modules!$A$7,Modules!$B$7,S275 = Modules!$A$8,Modules!$B$8,S275 = Modules!$A$9,Modules!$B$9,S275 = Modules!$A$10,Modules!$B$10,S275 = Modules!$A$11,Modules!$B$11,S275 = Modules!$A$12,Modules!$B$12, S275 = Modules!$A$13,Modules!$B$13)</f>
        <v>dem</v>
      </c>
      <c r="D275" s="2" t="s">
        <v>1064</v>
      </c>
      <c r="J275" s="10" t="str">
        <f t="shared" si="8"/>
        <v>i_demNchild</v>
      </c>
      <c r="K275" s="2" t="s">
        <v>889</v>
      </c>
      <c r="L275" s="2" t="s">
        <v>334</v>
      </c>
      <c r="M275" s="10" t="str">
        <f t="shared" si="9"/>
        <v>No</v>
      </c>
      <c r="S275" s="2" t="s">
        <v>975</v>
      </c>
      <c r="U275" s="2" t="s">
        <v>884</v>
      </c>
    </row>
    <row r="276" spans="1:22" ht="32" x14ac:dyDescent="0.2">
      <c r="A276" s="2" t="s">
        <v>416</v>
      </c>
      <c r="B276" s="2" t="s">
        <v>1235</v>
      </c>
      <c r="C276" s="10" t="str" cm="1">
        <f t="array" ref="C276">_xlfn.IFS(S276 = Modules!$A$2,Modules!$B$2,S276 = Modules!$A$3,Modules!$B$3,S276 = Modules!$A$4,Modules!$B$4,S276 = Modules!$A$5,Modules!$B$5,S276 = Modules!$A$6,Modules!$B$6,S276 = Modules!$A$7,Modules!$B$7,S276 = Modules!$A$8,Modules!$B$8,S276 = Modules!$A$9,Modules!$B$9,S276 = Modules!$A$10,Modules!$B$10,S276 = Modules!$A$11,Modules!$B$11,S276 = Modules!$A$12,Modules!$B$12, S276 = Modules!$A$13,Modules!$B$13)</f>
        <v>dem</v>
      </c>
      <c r="D276" s="2" t="s">
        <v>1064</v>
      </c>
      <c r="I276" s="2" t="s">
        <v>1063</v>
      </c>
      <c r="J276" s="10" t="str">
        <f t="shared" si="8"/>
        <v>i_demNchildL1</v>
      </c>
      <c r="K276" s="2" t="s">
        <v>890</v>
      </c>
      <c r="L276" s="2" t="s">
        <v>334</v>
      </c>
      <c r="M276" s="10" t="str">
        <f t="shared" si="9"/>
        <v>No</v>
      </c>
      <c r="S276" s="2" t="s">
        <v>975</v>
      </c>
      <c r="U276" s="2" t="s">
        <v>884</v>
      </c>
    </row>
    <row r="277" spans="1:22" ht="13.5" customHeight="1" x14ac:dyDescent="0.2">
      <c r="A277" s="6" t="s">
        <v>1363</v>
      </c>
      <c r="C277" s="2" t="str" cm="1">
        <f t="array" ref="C277">_xlfn.IFS(S277 = Modules!$A$2,Modules!$B$2,S277 = Modules!$A$3,Modules!$B$3,S277 = Modules!$A$4,Modules!$B$4,S277 = Modules!$A$5,Modules!$B$5,S277 = Modules!$A$6,Modules!$B$6,S277 = Modules!$A$7,Modules!$B$7,S277 = Modules!$A$8,Modules!$B$8,S277 = Modules!$A$9,Modules!$B$9,S277 = Modules!$A$10,Modules!$B$10,S277 = Modules!$A$11,Modules!$B$11,S277 = Modules!$A$12,Modules!$B$12, S277 = Modules!$A$13,Modules!$B$13)</f>
        <v>lab</v>
      </c>
      <c r="D277" s="2" t="s">
        <v>1098</v>
      </c>
      <c r="I277" s="2" t="s">
        <v>1159</v>
      </c>
      <c r="J277" s="2" t="str">
        <f t="shared" si="8"/>
        <v>labWageHrly</v>
      </c>
      <c r="K277" s="2" t="s">
        <v>1364</v>
      </c>
      <c r="L277" s="2" t="s">
        <v>170</v>
      </c>
      <c r="M277" s="10" t="str">
        <f t="shared" si="9"/>
        <v>No</v>
      </c>
      <c r="S277" s="2" t="s">
        <v>475</v>
      </c>
    </row>
    <row r="278" spans="1:22" ht="13.5" customHeight="1" x14ac:dyDescent="0.2">
      <c r="A278" s="2" t="s">
        <v>449</v>
      </c>
      <c r="B278" s="2" t="s">
        <v>1235</v>
      </c>
      <c r="C278" s="10" t="str" cm="1">
        <f t="array" ref="C278">_xlfn.IFS(S278 = Modules!$A$2,Modules!$B$2,S278 = Modules!$A$3,Modules!$B$3,S278 = Modules!$A$4,Modules!$B$4,S278 = Modules!$A$5,Modules!$B$5,S278 = Modules!$A$6,Modules!$B$6,S278 = Modules!$A$7,Modules!$B$7,S278 = Modules!$A$8,Modules!$B$8,S278 = Modules!$A$9,Modules!$B$9,S278 = Modules!$A$10,Modules!$B$10,S278 = Modules!$A$11,Modules!$B$11,S278 = Modules!$A$12,Modules!$B$12, S278 = Modules!$A$13,Modules!$B$13)</f>
        <v>dem</v>
      </c>
      <c r="D278" s="2" t="s">
        <v>1205</v>
      </c>
      <c r="J278" s="10" t="str">
        <f t="shared" si="8"/>
        <v>i_demOccupancy</v>
      </c>
      <c r="K278" s="2" t="s">
        <v>1394</v>
      </c>
      <c r="L278" s="2" t="s">
        <v>451</v>
      </c>
      <c r="M278" s="10" t="str">
        <f t="shared" si="9"/>
        <v>No</v>
      </c>
      <c r="S278" s="2" t="s">
        <v>975</v>
      </c>
    </row>
    <row r="279" spans="1:22" ht="13.5" customHeight="1" x14ac:dyDescent="0.2">
      <c r="A279" s="10" t="s">
        <v>152</v>
      </c>
      <c r="B279" s="10"/>
      <c r="C279" s="10" t="str" cm="1">
        <f t="array" ref="C279">_xlfn.IFS(S279 = Modules!$A$2,Modules!$B$2,S279 = Modules!$A$3,Modules!$B$3,S279 = Modules!$A$4,Modules!$B$4,S279 = Modules!$A$5,Modules!$B$5,S279 = Modules!$A$6,Modules!$B$6,S279 = Modules!$A$7,Modules!$B$7,S279 = Modules!$A$8,Modules!$B$8,S279 = Modules!$A$9,Modules!$B$9,S279 = Modules!$A$10,Modules!$B$10,S279 = Modules!$A$11,Modules!$B$11,S279 = Modules!$A$12,Modules!$B$12, S279 = Modules!$A$13,Modules!$B$13)</f>
        <v>care</v>
      </c>
      <c r="D279" s="2" t="s">
        <v>1060</v>
      </c>
      <c r="E279" s="10"/>
      <c r="F279" s="10"/>
      <c r="G279" s="2" t="s">
        <v>1074</v>
      </c>
      <c r="H279" s="10"/>
      <c r="I279" s="10"/>
      <c r="J279" s="10" t="str">
        <f t="shared" si="8"/>
        <v>careHrsFromOther</v>
      </c>
      <c r="K279" s="6" t="s">
        <v>686</v>
      </c>
      <c r="L279" s="8" t="s">
        <v>334</v>
      </c>
      <c r="M279" s="10" t="str">
        <f t="shared" si="9"/>
        <v>Yes</v>
      </c>
      <c r="N279" s="2" t="s">
        <v>681</v>
      </c>
      <c r="O279" s="2" t="s">
        <v>679</v>
      </c>
      <c r="S279" s="2" t="s">
        <v>971</v>
      </c>
    </row>
    <row r="280" spans="1:22" ht="13.5" customHeight="1" x14ac:dyDescent="0.2">
      <c r="A280" s="2" t="s">
        <v>149</v>
      </c>
      <c r="C280" s="10" t="str" cm="1">
        <f t="array" ref="C280">_xlfn.IFS(S280 = Modules!$A$2,Modules!$B$2,S280 = Modules!$A$3,Modules!$B$3,S280 = Modules!$A$4,Modules!$B$4,S280 = Modules!$A$5,Modules!$B$5,S280 = Modules!$A$6,Modules!$B$6,S280 = Modules!$A$7,Modules!$B$7,S280 = Modules!$A$8,Modules!$B$8,S280 = Modules!$A$9,Modules!$B$9,S280 = Modules!$A$10,Modules!$B$10,S280 = Modules!$A$11,Modules!$B$11,S280 = Modules!$A$12,Modules!$B$12, S280 = Modules!$A$13,Modules!$B$13)</f>
        <v>care</v>
      </c>
      <c r="D280" s="2" t="s">
        <v>1060</v>
      </c>
      <c r="G280" s="2" t="s">
        <v>1076</v>
      </c>
      <c r="J280" s="10" t="str">
        <f t="shared" si="8"/>
        <v>careHrsFromPartner</v>
      </c>
      <c r="K280" s="2" t="s">
        <v>683</v>
      </c>
      <c r="L280" s="8" t="s">
        <v>334</v>
      </c>
      <c r="M280" s="10" t="str">
        <f t="shared" si="9"/>
        <v>Yes</v>
      </c>
      <c r="N280" s="2" t="s">
        <v>681</v>
      </c>
      <c r="O280" s="2" t="s">
        <v>679</v>
      </c>
      <c r="S280" s="2" t="s">
        <v>971</v>
      </c>
    </row>
    <row r="281" spans="1:22" ht="13.5" customHeight="1" x14ac:dyDescent="0.2">
      <c r="A281" s="10" t="s">
        <v>324</v>
      </c>
      <c r="B281" s="10"/>
      <c r="C281" s="10" t="str" cm="1">
        <f t="array" ref="C281">_xlfn.IFS(S281 = Modules!$A$2,Modules!$B$2,S281 = Modules!$A$3,Modules!$B$3,S281 = Modules!$A$4,Modules!$B$4,S281 = Modules!$A$5,Modules!$B$5,S281 = Modules!$A$6,Modules!$B$6,S281 = Modules!$A$7,Modules!$B$7,S281 = Modules!$A$8,Modules!$B$8,S281 = Modules!$A$9,Modules!$B$9,S281 = Modules!$A$10,Modules!$B$10,S281 = Modules!$A$11,Modules!$B$11,S281 = Modules!$A$12,Modules!$B$12, S281 = Modules!$A$13,Modules!$B$13)</f>
        <v>dem</v>
      </c>
      <c r="D281" s="10"/>
      <c r="E281" s="10" t="s">
        <v>1087</v>
      </c>
      <c r="F281" s="10" t="s">
        <v>1153</v>
      </c>
      <c r="G281" s="10"/>
      <c r="H281" s="10"/>
      <c r="I281" s="10"/>
      <c r="J281" s="10" t="str">
        <f t="shared" si="8"/>
        <v>demPartnerAdj</v>
      </c>
      <c r="K281" s="2" t="s">
        <v>858</v>
      </c>
      <c r="L281" s="10" t="s">
        <v>1036</v>
      </c>
      <c r="M281" s="10" t="str">
        <f t="shared" si="9"/>
        <v>No</v>
      </c>
      <c r="R281" s="4" t="s">
        <v>795</v>
      </c>
      <c r="S281" s="2" t="s">
        <v>975</v>
      </c>
    </row>
    <row r="282" spans="1:22" ht="13.5" customHeight="1" x14ac:dyDescent="0.2">
      <c r="A282" s="10" t="s">
        <v>305</v>
      </c>
      <c r="B282" s="10"/>
      <c r="C282" s="10" t="str" cm="1">
        <f t="array" ref="C282">_xlfn.IFS(S282 = Modules!$A$2,Modules!$B$2,S282 = Modules!$A$3,Modules!$B$3,S282 = Modules!$A$4,Modules!$B$4,S282 = Modules!$A$5,Modules!$B$5,S282 = Modules!$A$6,Modules!$B$6,S282 = Modules!$A$7,Modules!$B$7,S282 = Modules!$A$8,Modules!$B$8,S282 = Modules!$A$9,Modules!$B$9,S282 = Modules!$A$10,Modules!$B$10,S282 = Modules!$A$11,Modules!$B$11,S282 = Modules!$A$12,Modules!$B$12, S282 = Modules!$A$13,Modules!$B$13)</f>
        <v>stat</v>
      </c>
      <c r="D282" s="2" t="s">
        <v>1206</v>
      </c>
      <c r="E282" s="10"/>
      <c r="F282" s="10"/>
      <c r="G282" s="2" t="s">
        <v>1050</v>
      </c>
      <c r="H282" s="10" t="s">
        <v>1057</v>
      </c>
      <c r="I282" s="10"/>
      <c r="J282" s="10" t="str">
        <f t="shared" si="8"/>
        <v>statPens18to29Avg</v>
      </c>
      <c r="K282" s="6" t="s">
        <v>840</v>
      </c>
      <c r="L282" s="10" t="s">
        <v>1032</v>
      </c>
      <c r="M282" s="10" t="str">
        <f t="shared" si="9"/>
        <v>No</v>
      </c>
      <c r="R282" s="4" t="s">
        <v>794</v>
      </c>
      <c r="S282" s="2" t="s">
        <v>973</v>
      </c>
    </row>
    <row r="283" spans="1:22" ht="13.5" customHeight="1" x14ac:dyDescent="0.2">
      <c r="A283" s="10" t="s">
        <v>306</v>
      </c>
      <c r="B283" s="10"/>
      <c r="C283" s="10" t="str" cm="1">
        <f t="array" ref="C283">_xlfn.IFS(S283 = Modules!$A$2,Modules!$B$2,S283 = Modules!$A$3,Modules!$B$3,S283 = Modules!$A$4,Modules!$B$4,S283 = Modules!$A$5,Modules!$B$5,S283 = Modules!$A$6,Modules!$B$6,S283 = Modules!$A$7,Modules!$B$7,S283 = Modules!$A$8,Modules!$B$8,S283 = Modules!$A$9,Modules!$B$9,S283 = Modules!$A$10,Modules!$B$10,S283 = Modules!$A$11,Modules!$B$11,S283 = Modules!$A$12,Modules!$B$12, S283 = Modules!$A$13,Modules!$B$13)</f>
        <v>stat</v>
      </c>
      <c r="D283" s="2" t="s">
        <v>1206</v>
      </c>
      <c r="E283" s="10"/>
      <c r="F283" s="10"/>
      <c r="G283" s="2" t="s">
        <v>1051</v>
      </c>
      <c r="H283" s="10" t="s">
        <v>1057</v>
      </c>
      <c r="I283" s="10"/>
      <c r="J283" s="10" t="str">
        <f t="shared" si="8"/>
        <v>statPens30to54Avg</v>
      </c>
      <c r="K283" s="6" t="s">
        <v>841</v>
      </c>
      <c r="L283" s="10" t="s">
        <v>1032</v>
      </c>
      <c r="M283" s="10" t="str">
        <f t="shared" si="9"/>
        <v>No</v>
      </c>
      <c r="R283" s="4" t="s">
        <v>794</v>
      </c>
      <c r="S283" s="2" t="s">
        <v>973</v>
      </c>
    </row>
    <row r="284" spans="1:22" ht="13.5" customHeight="1" x14ac:dyDescent="0.2">
      <c r="A284" s="10" t="s">
        <v>307</v>
      </c>
      <c r="B284" s="10"/>
      <c r="C284" s="10" t="str" cm="1">
        <f t="array" ref="C284">_xlfn.IFS(S284 = Modules!$A$2,Modules!$B$2,S284 = Modules!$A$3,Modules!$B$3,S284 = Modules!$A$4,Modules!$B$4,S284 = Modules!$A$5,Modules!$B$5,S284 = Modules!$A$6,Modules!$B$6,S284 = Modules!$A$7,Modules!$B$7,S284 = Modules!$A$8,Modules!$B$8,S284 = Modules!$A$9,Modules!$B$9,S284 = Modules!$A$10,Modules!$B$10,S284 = Modules!$A$11,Modules!$B$11,S284 = Modules!$A$12,Modules!$B$12, S284 = Modules!$A$13,Modules!$B$13)</f>
        <v>stat</v>
      </c>
      <c r="D284" s="2" t="s">
        <v>1206</v>
      </c>
      <c r="E284" s="10"/>
      <c r="F284" s="10"/>
      <c r="G284" s="2" t="s">
        <v>1052</v>
      </c>
      <c r="H284" s="10" t="s">
        <v>1057</v>
      </c>
      <c r="I284" s="10"/>
      <c r="J284" s="10" t="str">
        <f t="shared" si="8"/>
        <v>statPens55to74Avg</v>
      </c>
      <c r="K284" s="6" t="s">
        <v>842</v>
      </c>
      <c r="L284" s="10" t="s">
        <v>1032</v>
      </c>
      <c r="M284" s="10" t="str">
        <f t="shared" si="9"/>
        <v>No</v>
      </c>
      <c r="R284" s="4" t="s">
        <v>794</v>
      </c>
      <c r="S284" s="2" t="s">
        <v>973</v>
      </c>
    </row>
    <row r="285" spans="1:22" ht="13.5" customHeight="1" x14ac:dyDescent="0.2">
      <c r="A285" s="2" t="s">
        <v>187</v>
      </c>
      <c r="C285" s="10" t="str" cm="1">
        <f t="array" ref="C285">_xlfn.IFS(S285 = Modules!$A$2,Modules!$B$2,S285 = Modules!$A$3,Modules!$B$3,S285 = Modules!$A$4,Modules!$B$4,S285 = Modules!$A$5,Modules!$B$5,S285 = Modules!$A$6,Modules!$B$6,S285 = Modules!$A$7,Modules!$B$7,S285 = Modules!$A$8,Modules!$B$8,S285 = Modules!$A$9,Modules!$B$9,S285 = Modules!$A$10,Modules!$B$10,S285 = Modules!$A$11,Modules!$B$11,S285 = Modules!$A$12,Modules!$B$12, S285 = Modules!$A$13,Modules!$B$13)</f>
        <v>y</v>
      </c>
      <c r="D285" s="2" t="s">
        <v>1206</v>
      </c>
      <c r="I285" s="2" t="s">
        <v>706</v>
      </c>
      <c r="J285" s="10" t="str">
        <f t="shared" si="8"/>
        <v>yPensYear</v>
      </c>
      <c r="K285" s="2" t="s">
        <v>728</v>
      </c>
      <c r="L285" s="2" t="s">
        <v>451</v>
      </c>
      <c r="M285" s="10" t="str">
        <f t="shared" si="9"/>
        <v>No</v>
      </c>
      <c r="S285" s="2" t="s">
        <v>480</v>
      </c>
      <c r="U285" s="2" t="s">
        <v>729</v>
      </c>
    </row>
    <row r="286" spans="1:22" ht="13.5" customHeight="1" x14ac:dyDescent="0.2">
      <c r="A286" s="2" t="s">
        <v>431</v>
      </c>
      <c r="C286" s="10" t="str" cm="1">
        <f t="array" ref="C286">_xlfn.IFS(S286 = Modules!$A$2,Modules!$B$2,S286 = Modules!$A$3,Modules!$B$3,S286 = Modules!$A$4,Modules!$B$4,S286 = Modules!$A$5,Modules!$B$5,S286 = Modules!$A$6,Modules!$B$6,S286 = Modules!$A$7,Modules!$B$7,S286 = Modules!$A$8,Modules!$B$8,S286 = Modules!$A$9,Modules!$B$9,S286 = Modules!$A$10,Modules!$B$10,S286 = Modules!$A$11,Modules!$B$11,S286 = Modules!$A$12,Modules!$B$12, S286 = Modules!$A$13,Modules!$B$13)</f>
        <v>wealth</v>
      </c>
      <c r="D286" s="2" t="s">
        <v>1206</v>
      </c>
      <c r="F286" s="2" t="s">
        <v>1175</v>
      </c>
      <c r="J286" s="10" t="str">
        <f t="shared" si="8"/>
        <v>wealthPensValue</v>
      </c>
      <c r="K286" s="2" t="s">
        <v>677</v>
      </c>
      <c r="L286" s="2" t="s">
        <v>451</v>
      </c>
      <c r="M286" s="10" t="str">
        <f t="shared" si="9"/>
        <v>No</v>
      </c>
      <c r="S286" s="2" t="s">
        <v>478</v>
      </c>
      <c r="U286" s="2" t="s">
        <v>1447</v>
      </c>
    </row>
    <row r="287" spans="1:22" ht="13.5" customHeight="1" x14ac:dyDescent="0.2">
      <c r="A287" s="2" t="s">
        <v>131</v>
      </c>
      <c r="C287" s="10" t="str" cm="1">
        <f t="array" ref="C287">_xlfn.IFS(S287 = Modules!$A$2,Modules!$B$2,S287 = Modules!$A$3,Modules!$B$3,S287 = Modules!$A$4,Modules!$B$4,S287 = Modules!$A$5,Modules!$B$5,S287 = Modules!$A$6,Modules!$B$6,S287 = Modules!$A$7,Modules!$B$7,S287 = Modules!$A$8,Modules!$B$8,S287 = Modules!$A$9,Modules!$B$9,S287 = Modules!$A$10,Modules!$B$10,S287 = Modules!$A$11,Modules!$B$11,S287 = Modules!$A$12,Modules!$B$12, S287 = Modules!$A$13,Modules!$B$13)</f>
        <v>id</v>
      </c>
      <c r="D287" s="2" t="s">
        <v>1179</v>
      </c>
      <c r="J287" s="10" t="str">
        <f t="shared" si="8"/>
        <v>idPers</v>
      </c>
      <c r="K287" s="2" t="s">
        <v>659</v>
      </c>
      <c r="L287" s="8" t="s">
        <v>170</v>
      </c>
      <c r="M287" s="10" t="str">
        <f t="shared" si="9"/>
        <v>No</v>
      </c>
      <c r="N287" s="2" t="s">
        <v>131</v>
      </c>
      <c r="S287" s="2" t="s">
        <v>457</v>
      </c>
      <c r="U287" s="9" t="s">
        <v>456</v>
      </c>
    </row>
    <row r="288" spans="1:22" ht="13.5" customHeight="1" x14ac:dyDescent="0.2">
      <c r="A288" s="10" t="s">
        <v>308</v>
      </c>
      <c r="B288" s="10"/>
      <c r="C288" s="10" t="str" cm="1">
        <f t="array" ref="C288">_xlfn.IFS(S288 = Modules!$A$2,Modules!$B$2,S288 = Modules!$A$3,Modules!$B$3,S288 = Modules!$A$4,Modules!$B$4,S288 = Modules!$A$5,Modules!$B$5,S288 = Modules!$A$6,Modules!$B$6,S288 = Modules!$A$7,Modules!$B$7,S288 = Modules!$A$8,Modules!$B$8,S288 = Modules!$A$9,Modules!$B$9,S288 = Modules!$A$10,Modules!$B$10,S288 = Modules!$A$11,Modules!$B$11,S288 = Modules!$A$12,Modules!$B$12, S288 = Modules!$A$13,Modules!$B$13)</f>
        <v>dem</v>
      </c>
      <c r="D288" s="2" t="s">
        <v>1207</v>
      </c>
      <c r="E288" s="10"/>
      <c r="F288" s="10"/>
      <c r="G288" s="2" t="s">
        <v>1050</v>
      </c>
      <c r="H288" s="10" t="s">
        <v>199</v>
      </c>
      <c r="I288" s="10"/>
      <c r="J288" s="10" t="str">
        <f t="shared" si="8"/>
        <v>demPop18to29N</v>
      </c>
      <c r="K288" s="2" t="s">
        <v>843</v>
      </c>
      <c r="L288" s="10" t="s">
        <v>1032</v>
      </c>
      <c r="M288" s="10" t="str">
        <f t="shared" si="9"/>
        <v>No</v>
      </c>
      <c r="R288" s="4" t="s">
        <v>794</v>
      </c>
      <c r="S288" s="2" t="s">
        <v>975</v>
      </c>
      <c r="V288" s="10"/>
    </row>
    <row r="289" spans="1:22" ht="13.5" customHeight="1" x14ac:dyDescent="0.2">
      <c r="A289" s="10" t="s">
        <v>309</v>
      </c>
      <c r="B289" s="10"/>
      <c r="C289" s="10" t="str" cm="1">
        <f t="array" ref="C289">_xlfn.IFS(S289 = Modules!$A$2,Modules!$B$2,S289 = Modules!$A$3,Modules!$B$3,S289 = Modules!$A$4,Modules!$B$4,S289 = Modules!$A$5,Modules!$B$5,S289 = Modules!$A$6,Modules!$B$6,S289 = Modules!$A$7,Modules!$B$7,S289 = Modules!$A$8,Modules!$B$8,S289 = Modules!$A$9,Modules!$B$9,S289 = Modules!$A$10,Modules!$B$10,S289 = Modules!$A$11,Modules!$B$11,S289 = Modules!$A$12,Modules!$B$12, S289 = Modules!$A$13,Modules!$B$13)</f>
        <v>dem</v>
      </c>
      <c r="D289" s="2" t="s">
        <v>1207</v>
      </c>
      <c r="E289" s="10"/>
      <c r="F289" s="10"/>
      <c r="G289" s="2" t="s">
        <v>1051</v>
      </c>
      <c r="H289" s="10" t="s">
        <v>199</v>
      </c>
      <c r="I289" s="10"/>
      <c r="J289" s="10" t="str">
        <f t="shared" si="8"/>
        <v>demPop30to54N</v>
      </c>
      <c r="K289" s="2" t="s">
        <v>844</v>
      </c>
      <c r="L289" s="10" t="s">
        <v>1032</v>
      </c>
      <c r="M289" s="10" t="str">
        <f t="shared" si="9"/>
        <v>No</v>
      </c>
      <c r="R289" s="4" t="s">
        <v>794</v>
      </c>
      <c r="S289" s="2" t="s">
        <v>975</v>
      </c>
      <c r="V289" s="10"/>
    </row>
    <row r="290" spans="1:22" ht="13.5" customHeight="1" x14ac:dyDescent="0.2">
      <c r="A290" s="10" t="s">
        <v>310</v>
      </c>
      <c r="B290" s="10"/>
      <c r="C290" s="10" t="str" cm="1">
        <f t="array" ref="C290">_xlfn.IFS(S290 = Modules!$A$2,Modules!$B$2,S290 = Modules!$A$3,Modules!$B$3,S290 = Modules!$A$4,Modules!$B$4,S290 = Modules!$A$5,Modules!$B$5,S290 = Modules!$A$6,Modules!$B$6,S290 = Modules!$A$7,Modules!$B$7,S290 = Modules!$A$8,Modules!$B$8,S290 = Modules!$A$9,Modules!$B$9,S290 = Modules!$A$10,Modules!$B$10,S290 = Modules!$A$11,Modules!$B$11,S290 = Modules!$A$12,Modules!$B$12, S290 = Modules!$A$13,Modules!$B$13)</f>
        <v>dem</v>
      </c>
      <c r="D290" s="2" t="s">
        <v>1207</v>
      </c>
      <c r="E290" s="10"/>
      <c r="F290" s="10"/>
      <c r="G290" s="2" t="s">
        <v>1052</v>
      </c>
      <c r="H290" s="10" t="s">
        <v>199</v>
      </c>
      <c r="I290" s="10"/>
      <c r="J290" s="10" t="str">
        <f t="shared" si="8"/>
        <v>demPop55to74N</v>
      </c>
      <c r="K290" s="2" t="s">
        <v>845</v>
      </c>
      <c r="L290" s="10" t="s">
        <v>1032</v>
      </c>
      <c r="M290" s="10" t="str">
        <f t="shared" si="9"/>
        <v>No</v>
      </c>
      <c r="R290" s="4" t="s">
        <v>794</v>
      </c>
      <c r="S290" s="2" t="s">
        <v>975</v>
      </c>
    </row>
    <row r="291" spans="1:22" ht="13.5" customHeight="1" x14ac:dyDescent="0.2">
      <c r="A291" s="2" t="s">
        <v>145</v>
      </c>
      <c r="C291" s="10" t="str" cm="1">
        <f t="array" ref="C291">_xlfn.IFS(S291 = Modules!$A$2,Modules!$B$2,S291 = Modules!$A$3,Modules!$B$3,S291 = Modules!$A$4,Modules!$B$4,S291 = Modules!$A$5,Modules!$B$5,S291 = Modules!$A$6,Modules!$B$6,S291 = Modules!$A$7,Modules!$B$7,S291 = Modules!$A$8,Modules!$B$8,S291 = Modules!$A$9,Modules!$B$9,S291 = Modules!$A$10,Modules!$B$10,S291 = Modules!$A$11,Modules!$B$11,S291 = Modules!$A$12,Modules!$B$12, S291 = Modules!$A$13,Modules!$B$13)</f>
        <v>lab</v>
      </c>
      <c r="D291" s="2" t="s">
        <v>1098</v>
      </c>
      <c r="I291" s="2" t="s">
        <v>1159</v>
      </c>
      <c r="J291" s="10" t="str">
        <f t="shared" si="8"/>
        <v>labWageHrly</v>
      </c>
      <c r="K291" s="2" t="s">
        <v>1381</v>
      </c>
      <c r="L291" s="8" t="s">
        <v>334</v>
      </c>
      <c r="M291" s="10" t="str">
        <f t="shared" si="9"/>
        <v>Yes</v>
      </c>
      <c r="N291" s="2" t="s">
        <v>675</v>
      </c>
      <c r="O291" s="2" t="s">
        <v>521</v>
      </c>
      <c r="P291" s="2" t="s">
        <v>1308</v>
      </c>
      <c r="Q291" s="6" t="s">
        <v>1253</v>
      </c>
      <c r="S291" s="2" t="s">
        <v>475</v>
      </c>
      <c r="U291" s="2" t="s">
        <v>674</v>
      </c>
    </row>
    <row r="292" spans="1:22" ht="13.5" customHeight="1" x14ac:dyDescent="0.2">
      <c r="A292" s="2" t="s">
        <v>138</v>
      </c>
      <c r="C292" s="10" t="str" cm="1">
        <f t="array" ref="C292">_xlfn.IFS(S292 = Modules!$A$2,Modules!$B$2,S292 = Modules!$A$3,Modules!$B$3,S292 = Modules!$A$4,Modules!$B$4,S292 = Modules!$A$5,Modules!$B$5,S292 = Modules!$A$6,Modules!$B$6,S292 = Modules!$A$7,Modules!$B$7,S292 = Modules!$A$8,Modules!$B$8,S292 = Modules!$A$9,Modules!$B$9,S292 = Modules!$A$10,Modules!$B$10,S292 = Modules!$A$11,Modules!$B$11,S292 = Modules!$A$12,Modules!$B$12, S292 = Modules!$A$13,Modules!$B$13)</f>
        <v>id</v>
      </c>
      <c r="D292" s="2" t="s">
        <v>1087</v>
      </c>
      <c r="J292" s="10" t="str">
        <f t="shared" si="8"/>
        <v>idPartner</v>
      </c>
      <c r="K292" s="2" t="s">
        <v>660</v>
      </c>
      <c r="L292" s="8" t="s">
        <v>170</v>
      </c>
      <c r="M292" s="10" t="str">
        <f t="shared" si="9"/>
        <v>No</v>
      </c>
      <c r="N292" s="2" t="s">
        <v>138</v>
      </c>
      <c r="S292" s="2" t="s">
        <v>457</v>
      </c>
      <c r="U292" s="9" t="s">
        <v>456</v>
      </c>
    </row>
    <row r="293" spans="1:22" ht="13.5" customHeight="1" x14ac:dyDescent="0.2">
      <c r="A293" s="10" t="s">
        <v>311</v>
      </c>
      <c r="B293" s="10"/>
      <c r="C293" s="10" t="str" cm="1">
        <f t="array" ref="C293">_xlfn.IFS(S293 = Modules!$A$2,Modules!$B$2,S293 = Modules!$A$3,Modules!$B$3,S293 = Modules!$A$4,Modules!$B$4,S293 = Modules!$A$5,Modules!$B$5,S293 = Modules!$A$6,Modules!$B$6,S293 = Modules!$A$7,Modules!$B$7,S293 = Modules!$A$8,Modules!$B$8,S293 = Modules!$A$9,Modules!$B$9,S293 = Modules!$A$10,Modules!$B$10,S293 = Modules!$A$11,Modules!$B$11,S293 = Modules!$A$12,Modules!$B$12, S293 = Modules!$A$13,Modules!$B$13)</f>
        <v>dem</v>
      </c>
      <c r="D293" s="2" t="s">
        <v>1133</v>
      </c>
      <c r="E293" s="10"/>
      <c r="F293" s="10"/>
      <c r="G293" s="2" t="s">
        <v>1050</v>
      </c>
      <c r="H293" s="10" t="s">
        <v>1053</v>
      </c>
      <c r="I293" s="10"/>
      <c r="J293" s="10" t="str">
        <f t="shared" si="8"/>
        <v>demDsbl18to29Share</v>
      </c>
      <c r="K293" s="2" t="s">
        <v>846</v>
      </c>
      <c r="L293" s="10" t="s">
        <v>1032</v>
      </c>
      <c r="M293" s="10" t="str">
        <f t="shared" si="9"/>
        <v>No</v>
      </c>
      <c r="R293" s="4" t="s">
        <v>794</v>
      </c>
      <c r="S293" s="2" t="s">
        <v>975</v>
      </c>
    </row>
    <row r="294" spans="1:22" ht="13.5" customHeight="1" x14ac:dyDescent="0.2">
      <c r="A294" s="10" t="s">
        <v>312</v>
      </c>
      <c r="B294" s="10"/>
      <c r="C294" s="10" t="str" cm="1">
        <f t="array" ref="C294">_xlfn.IFS(S294 = Modules!$A$2,Modules!$B$2,S294 = Modules!$A$3,Modules!$B$3,S294 = Modules!$A$4,Modules!$B$4,S294 = Modules!$A$5,Modules!$B$5,S294 = Modules!$A$6,Modules!$B$6,S294 = Modules!$A$7,Modules!$B$7,S294 = Modules!$A$8,Modules!$B$8,S294 = Modules!$A$9,Modules!$B$9,S294 = Modules!$A$10,Modules!$B$10,S294 = Modules!$A$11,Modules!$B$11,S294 = Modules!$A$12,Modules!$B$12, S294 = Modules!$A$13,Modules!$B$13)</f>
        <v>dem</v>
      </c>
      <c r="D294" s="2" t="s">
        <v>1133</v>
      </c>
      <c r="E294" s="10"/>
      <c r="F294" s="10"/>
      <c r="G294" s="2" t="s">
        <v>1051</v>
      </c>
      <c r="H294" s="10" t="s">
        <v>1053</v>
      </c>
      <c r="I294" s="10"/>
      <c r="J294" s="10" t="str">
        <f t="shared" si="8"/>
        <v>demDsbl30to54Share</v>
      </c>
      <c r="K294" s="2" t="s">
        <v>847</v>
      </c>
      <c r="L294" s="10" t="s">
        <v>1032</v>
      </c>
      <c r="M294" s="10" t="str">
        <f t="shared" si="9"/>
        <v>No</v>
      </c>
      <c r="R294" s="4" t="s">
        <v>794</v>
      </c>
      <c r="S294" s="2" t="s">
        <v>975</v>
      </c>
    </row>
    <row r="295" spans="1:22" ht="13.5" customHeight="1" x14ac:dyDescent="0.2">
      <c r="A295" s="10" t="s">
        <v>313</v>
      </c>
      <c r="B295" s="10"/>
      <c r="C295" s="10" t="str" cm="1">
        <f t="array" ref="C295">_xlfn.IFS(S295 = Modules!$A$2,Modules!$B$2,S295 = Modules!$A$3,Modules!$B$3,S295 = Modules!$A$4,Modules!$B$4,S295 = Modules!$A$5,Modules!$B$5,S295 = Modules!$A$6,Modules!$B$6,S295 = Modules!$A$7,Modules!$B$7,S295 = Modules!$A$8,Modules!$B$8,S295 = Modules!$A$9,Modules!$B$9,S295 = Modules!$A$10,Modules!$B$10,S295 = Modules!$A$11,Modules!$B$11,S295 = Modules!$A$12,Modules!$B$12, S295 = Modules!$A$13,Modules!$B$13)</f>
        <v>dem</v>
      </c>
      <c r="D295" s="2" t="s">
        <v>1133</v>
      </c>
      <c r="E295" s="10"/>
      <c r="F295" s="10"/>
      <c r="G295" s="2" t="s">
        <v>1052</v>
      </c>
      <c r="H295" s="10" t="s">
        <v>1053</v>
      </c>
      <c r="I295" s="10"/>
      <c r="J295" s="10" t="str">
        <f t="shared" si="8"/>
        <v>demDsbl55to74Share</v>
      </c>
      <c r="K295" s="2" t="s">
        <v>848</v>
      </c>
      <c r="L295" s="10" t="s">
        <v>1032</v>
      </c>
      <c r="M295" s="10" t="str">
        <f t="shared" si="9"/>
        <v>No</v>
      </c>
      <c r="R295" s="4" t="s">
        <v>794</v>
      </c>
      <c r="S295" s="2" t="s">
        <v>975</v>
      </c>
    </row>
    <row r="296" spans="1:22" ht="13.5" customHeight="1" x14ac:dyDescent="0.2">
      <c r="A296" s="10" t="s">
        <v>314</v>
      </c>
      <c r="B296" s="10"/>
      <c r="C296" s="10" t="str" cm="1">
        <f t="array" ref="C296">_xlfn.IFS(S296 = Modules!$A$2,Modules!$B$2,S296 = Modules!$A$3,Modules!$B$3,S296 = Modules!$A$4,Modules!$B$4,S296 = Modules!$A$5,Modules!$B$5,S296 = Modules!$A$6,Modules!$B$6,S296 = Modules!$A$7,Modules!$B$7,S296 = Modules!$A$8,Modules!$B$8,S296 = Modules!$A$9,Modules!$B$9,S296 = Modules!$A$10,Modules!$B$10,S296 = Modules!$A$11,Modules!$B$11,S296 = Modules!$A$12,Modules!$B$12, S296 = Modules!$A$13,Modules!$B$13)</f>
        <v>dem</v>
      </c>
      <c r="D296" s="2" t="s">
        <v>1208</v>
      </c>
      <c r="E296" s="10"/>
      <c r="F296" s="10"/>
      <c r="G296" s="2" t="s">
        <v>1050</v>
      </c>
      <c r="H296" s="10" t="s">
        <v>1053</v>
      </c>
      <c r="I296" s="10"/>
      <c r="J296" s="10" t="str">
        <f t="shared" si="8"/>
        <v>demMarried18to29Share</v>
      </c>
      <c r="K296" s="2" t="s">
        <v>849</v>
      </c>
      <c r="L296" s="10" t="s">
        <v>1032</v>
      </c>
      <c r="M296" s="10" t="str">
        <f t="shared" si="9"/>
        <v>No</v>
      </c>
      <c r="R296" s="4" t="s">
        <v>794</v>
      </c>
      <c r="S296" s="2" t="s">
        <v>975</v>
      </c>
    </row>
    <row r="297" spans="1:22" ht="13.5" customHeight="1" x14ac:dyDescent="0.2">
      <c r="A297" s="10" t="s">
        <v>315</v>
      </c>
      <c r="B297" s="10"/>
      <c r="C297" s="10" t="str" cm="1">
        <f t="array" ref="C297">_xlfn.IFS(S297 = Modules!$A$2,Modules!$B$2,S297 = Modules!$A$3,Modules!$B$3,S297 = Modules!$A$4,Modules!$B$4,S297 = Modules!$A$5,Modules!$B$5,S297 = Modules!$A$6,Modules!$B$6,S297 = Modules!$A$7,Modules!$B$7,S297 = Modules!$A$8,Modules!$B$8,S297 = Modules!$A$9,Modules!$B$9,S297 = Modules!$A$10,Modules!$B$10,S297 = Modules!$A$11,Modules!$B$11,S297 = Modules!$A$12,Modules!$B$12, S297 = Modules!$A$13,Modules!$B$13)</f>
        <v>dem</v>
      </c>
      <c r="D297" s="2" t="s">
        <v>1208</v>
      </c>
      <c r="E297" s="10"/>
      <c r="F297" s="10"/>
      <c r="G297" s="2" t="s">
        <v>1051</v>
      </c>
      <c r="H297" s="10" t="s">
        <v>1053</v>
      </c>
      <c r="I297" s="10"/>
      <c r="J297" s="10" t="str">
        <f t="shared" si="8"/>
        <v>demMarried30to54Share</v>
      </c>
      <c r="K297" s="2" t="s">
        <v>850</v>
      </c>
      <c r="L297" s="10" t="s">
        <v>1032</v>
      </c>
      <c r="M297" s="10" t="str">
        <f t="shared" si="9"/>
        <v>No</v>
      </c>
      <c r="R297" s="4" t="s">
        <v>794</v>
      </c>
      <c r="S297" s="2" t="s">
        <v>975</v>
      </c>
    </row>
    <row r="298" spans="1:22" ht="13.5" customHeight="1" x14ac:dyDescent="0.2">
      <c r="A298" s="10" t="s">
        <v>316</v>
      </c>
      <c r="B298" s="10"/>
      <c r="C298" s="10" t="str" cm="1">
        <f t="array" ref="C298">_xlfn.IFS(S298 = Modules!$A$2,Modules!$B$2,S298 = Modules!$A$3,Modules!$B$3,S298 = Modules!$A$4,Modules!$B$4,S298 = Modules!$A$5,Modules!$B$5,S298 = Modules!$A$6,Modules!$B$6,S298 = Modules!$A$7,Modules!$B$7,S298 = Modules!$A$8,Modules!$B$8,S298 = Modules!$A$9,Modules!$B$9,S298 = Modules!$A$10,Modules!$B$10,S298 = Modules!$A$11,Modules!$B$11,S298 = Modules!$A$12,Modules!$B$12, S298 = Modules!$A$13,Modules!$B$13)</f>
        <v>dem</v>
      </c>
      <c r="D298" s="2" t="s">
        <v>1208</v>
      </c>
      <c r="E298" s="10"/>
      <c r="F298" s="10"/>
      <c r="G298" s="2" t="s">
        <v>1052</v>
      </c>
      <c r="H298" s="10" t="s">
        <v>1053</v>
      </c>
      <c r="I298" s="10"/>
      <c r="J298" s="10" t="str">
        <f t="shared" si="8"/>
        <v>demMarried55to74Share</v>
      </c>
      <c r="K298" s="2" t="s">
        <v>851</v>
      </c>
      <c r="L298" s="10" t="s">
        <v>1032</v>
      </c>
      <c r="M298" s="10" t="str">
        <f t="shared" si="9"/>
        <v>No</v>
      </c>
      <c r="R298" s="4" t="s">
        <v>794</v>
      </c>
      <c r="S298" s="2" t="s">
        <v>975</v>
      </c>
    </row>
    <row r="299" spans="1:22" ht="16" x14ac:dyDescent="0.2">
      <c r="A299" s="10" t="s">
        <v>196</v>
      </c>
      <c r="B299" s="10"/>
      <c r="C299" s="10" t="str" cm="1">
        <f t="array" ref="C299">_xlfn.IFS(S299 = Modules!$A$2,Modules!$B$2,S299 = Modules!$A$3,Modules!$B$3,S299 = Modules!$A$4,Modules!$B$4,S299 = Modules!$A$5,Modules!$B$5,S299 = Modules!$A$6,Modules!$B$6,S299 = Modules!$A$7,Modules!$B$7,S299 = Modules!$A$8,Modules!$B$8,S299 = Modules!$A$9,Modules!$B$9,S299 = Modules!$A$10,Modules!$B$10,S299 = Modules!$A$11,Modules!$B$11,S299 = Modules!$A$12,Modules!$B$12, S299 = Modules!$A$13,Modules!$B$13)</f>
        <v>lab</v>
      </c>
      <c r="D299" s="2" t="s">
        <v>1209</v>
      </c>
      <c r="E299" s="10"/>
      <c r="F299" s="10"/>
      <c r="G299" s="10"/>
      <c r="H299" s="10" t="s">
        <v>1053</v>
      </c>
      <c r="I299" s="10"/>
      <c r="J299" s="10" t="str">
        <f t="shared" si="8"/>
        <v>labEmpShare</v>
      </c>
      <c r="K299" s="2" t="s">
        <v>741</v>
      </c>
      <c r="L299" s="10" t="s">
        <v>1035</v>
      </c>
      <c r="M299" s="10" t="str">
        <f t="shared" si="9"/>
        <v>No</v>
      </c>
      <c r="R299" s="4" t="s">
        <v>745</v>
      </c>
      <c r="S299" s="2" t="s">
        <v>475</v>
      </c>
    </row>
    <row r="300" spans="1:22" ht="16" x14ac:dyDescent="0.2">
      <c r="A300" s="10" t="s">
        <v>197</v>
      </c>
      <c r="B300" s="10"/>
      <c r="C300" s="10" t="str" cm="1">
        <f t="array" ref="C300">_xlfn.IFS(S300 = Modules!$A$2,Modules!$B$2,S300 = Modules!$A$3,Modules!$B$3,S300 = Modules!$A$4,Modules!$B$4,S300 = Modules!$A$5,Modules!$B$5,S300 = Modules!$A$6,Modules!$B$6,S300 = Modules!$A$7,Modules!$B$7,S300 = Modules!$A$8,Modules!$B$8,S300 = Modules!$A$9,Modules!$B$9,S300 = Modules!$A$10,Modules!$B$10,S300 = Modules!$A$11,Modules!$B$11,S300 = Modules!$A$12,Modules!$B$12, S300 = Modules!$A$13,Modules!$B$13)</f>
        <v>lab</v>
      </c>
      <c r="D300" s="2" t="s">
        <v>1210</v>
      </c>
      <c r="E300" s="10"/>
      <c r="F300" s="10"/>
      <c r="G300" s="10"/>
      <c r="H300" s="10" t="s">
        <v>1053</v>
      </c>
      <c r="I300" s="10"/>
      <c r="J300" s="10" t="str">
        <f t="shared" si="8"/>
        <v>labUnempShare</v>
      </c>
      <c r="K300" s="2" t="s">
        <v>742</v>
      </c>
      <c r="L300" s="10" t="s">
        <v>1035</v>
      </c>
      <c r="M300" s="10" t="str">
        <f t="shared" si="9"/>
        <v>No</v>
      </c>
      <c r="R300" s="4" t="s">
        <v>745</v>
      </c>
      <c r="S300" s="2" t="s">
        <v>475</v>
      </c>
    </row>
    <row r="301" spans="1:22" ht="16" x14ac:dyDescent="0.2">
      <c r="A301" s="10" t="s">
        <v>225</v>
      </c>
      <c r="B301" s="10"/>
      <c r="C301" s="10" t="str" cm="1">
        <f t="array" ref="C301">_xlfn.IFS(S301 = Modules!$A$2,Modules!$B$2,S301 = Modules!$A$3,Modules!$B$3,S301 = Modules!$A$4,Modules!$B$4,S301 = Modules!$A$5,Modules!$B$5,S301 = Modules!$A$6,Modules!$B$6,S301 = Modules!$A$7,Modules!$B$7,S301 = Modules!$A$8,Modules!$B$8,S301 = Modules!$A$9,Modules!$B$9,S301 = Modules!$A$10,Modules!$B$10,S301 = Modules!$A$11,Modules!$B$11,S301 = Modules!$A$12,Modules!$B$12, S301 = Modules!$A$13,Modules!$B$13)</f>
        <v>health</v>
      </c>
      <c r="D301" s="2" t="s">
        <v>1420</v>
      </c>
      <c r="E301" s="10"/>
      <c r="F301" s="10" t="s">
        <v>1423</v>
      </c>
      <c r="G301" s="10"/>
      <c r="H301" s="10"/>
      <c r="I301" s="10"/>
      <c r="J301" s="10" t="str">
        <f t="shared" si="8"/>
        <v>healthLifeYearQualAdj</v>
      </c>
      <c r="K301" s="2" t="s">
        <v>1419</v>
      </c>
      <c r="L301" s="10" t="s">
        <v>1034</v>
      </c>
      <c r="M301" s="10" t="str">
        <f t="shared" si="9"/>
        <v>No</v>
      </c>
      <c r="R301" s="4" t="s">
        <v>605</v>
      </c>
      <c r="S301" s="2" t="s">
        <v>531</v>
      </c>
    </row>
    <row r="302" spans="1:22" ht="13.5" customHeight="1" x14ac:dyDescent="0.2">
      <c r="A302" s="2" t="s">
        <v>434</v>
      </c>
      <c r="C302" s="10" t="str" cm="1">
        <f t="array" ref="C302">_xlfn.IFS(S302 = Modules!$A$2,Modules!$B$2,S302 = Modules!$A$3,Modules!$B$3,S302 = Modules!$A$4,Modules!$B$4,S302 = Modules!$A$5,Modules!$B$5,S302 = Modules!$A$6,Modules!$B$6,S302 = Modules!$A$7,Modules!$B$7,S302 = Modules!$A$8,Modules!$B$8,S302 = Modules!$A$9,Modules!$B$9,S302 = Modules!$A$10,Modules!$B$10,S302 = Modules!$A$11,Modules!$B$11,S302 = Modules!$A$12,Modules!$B$12, S302 = Modules!$A$13,Modules!$B$13)</f>
        <v>y</v>
      </c>
      <c r="D302" s="2" t="s">
        <v>1067</v>
      </c>
      <c r="F302" s="2" t="s">
        <v>1211</v>
      </c>
      <c r="H302" s="2" t="s">
        <v>981</v>
      </c>
      <c r="J302" s="10" t="str">
        <f t="shared" si="8"/>
        <v>yBenLegacyFlag</v>
      </c>
      <c r="K302" s="6" t="s">
        <v>901</v>
      </c>
      <c r="L302" s="2" t="s">
        <v>451</v>
      </c>
      <c r="M302" s="10" t="str">
        <f t="shared" si="9"/>
        <v>No</v>
      </c>
      <c r="S302" s="2" t="s">
        <v>480</v>
      </c>
    </row>
    <row r="303" spans="1:22" ht="13.5" customHeight="1" x14ac:dyDescent="0.2">
      <c r="A303" s="2" t="s">
        <v>433</v>
      </c>
      <c r="C303" s="10" t="str" cm="1">
        <f t="array" ref="C303">_xlfn.IFS(S303 = Modules!$A$2,Modules!$B$2,S303 = Modules!$A$3,Modules!$B$3,S303 = Modules!$A$4,Modules!$B$4,S303 = Modules!$A$5,Modules!$B$5,S303 = Modules!$A$6,Modules!$B$6,S303 = Modules!$A$7,Modules!$B$7,S303 = Modules!$A$8,Modules!$B$8,S303 = Modules!$A$9,Modules!$B$9,S303 = Modules!$A$10,Modules!$B$10,S303 = Modules!$A$11,Modules!$B$11,S303 = Modules!$A$12,Modules!$B$12, S303 = Modules!$A$13,Modules!$B$13)</f>
        <v>y</v>
      </c>
      <c r="D303" s="2" t="s">
        <v>1067</v>
      </c>
      <c r="F303" s="2" t="s">
        <v>1148</v>
      </c>
      <c r="H303" s="2" t="s">
        <v>981</v>
      </c>
      <c r="J303" s="10" t="str">
        <f t="shared" si="8"/>
        <v>yBenUCFlag</v>
      </c>
      <c r="K303" s="6" t="s">
        <v>782</v>
      </c>
      <c r="L303" s="2" t="s">
        <v>451</v>
      </c>
      <c r="M303" s="10" t="str">
        <f t="shared" si="9"/>
        <v>No</v>
      </c>
      <c r="S303" s="2" t="s">
        <v>480</v>
      </c>
      <c r="U303" s="8" t="s">
        <v>785</v>
      </c>
    </row>
    <row r="304" spans="1:22" ht="48" x14ac:dyDescent="0.2">
      <c r="A304" s="2" t="s">
        <v>378</v>
      </c>
      <c r="C304" s="10" t="str" cm="1">
        <f t="array" ref="C304">_xlfn.IFS(S304 = Modules!$A$2,Modules!$B$2,S304 = Modules!$A$3,Modules!$B$3,S304 = Modules!$A$4,Modules!$B$4,S304 = Modules!$A$5,Modules!$B$5,S304 = Modules!$A$6,Modules!$B$6,S304 = Modules!$A$7,Modules!$B$7,S304 = Modules!$A$8,Modules!$B$8,S304 = Modules!$A$9,Modules!$B$9,S304 = Modules!$A$10,Modules!$B$10,S304 = Modules!$A$11,Modules!$B$11,S304 = Modules!$A$12,Modules!$B$12, S304 = Modules!$A$13,Modules!$B$13)</f>
        <v>y</v>
      </c>
      <c r="D304" s="2" t="s">
        <v>1067</v>
      </c>
      <c r="H304" s="2" t="s">
        <v>981</v>
      </c>
      <c r="J304" s="10" t="str">
        <f t="shared" si="8"/>
        <v>yBenFlag</v>
      </c>
      <c r="K304" s="2" t="s">
        <v>781</v>
      </c>
      <c r="L304" s="10" t="s">
        <v>334</v>
      </c>
      <c r="M304" s="10" t="str">
        <f t="shared" si="9"/>
        <v>No</v>
      </c>
      <c r="S304" s="2" t="s">
        <v>480</v>
      </c>
      <c r="U304" s="2" t="s">
        <v>783</v>
      </c>
    </row>
    <row r="305" spans="1:21" ht="16" x14ac:dyDescent="0.2">
      <c r="A305" s="2" t="s">
        <v>379</v>
      </c>
      <c r="C305" s="10" t="str" cm="1">
        <f t="array" ref="C305">_xlfn.IFS(S305 = Modules!$A$2,Modules!$B$2,S305 = Modules!$A$3,Modules!$B$3,S305 = Modules!$A$4,Modules!$B$4,S305 = Modules!$A$5,Modules!$B$5,S305 = Modules!$A$6,Modules!$B$6,S305 = Modules!$A$7,Modules!$B$7,S305 = Modules!$A$8,Modules!$B$8,S305 = Modules!$A$9,Modules!$B$9,S305 = Modules!$A$10,Modules!$B$10,S305 = Modules!$A$11,Modules!$B$11,S305 = Modules!$A$12,Modules!$B$12, S305 = Modules!$A$13,Modules!$B$13)</f>
        <v>y</v>
      </c>
      <c r="D305" s="2" t="s">
        <v>1067</v>
      </c>
      <c r="H305" s="2" t="s">
        <v>981</v>
      </c>
      <c r="I305" s="2" t="s">
        <v>1063</v>
      </c>
      <c r="J305" s="10" t="str">
        <f t="shared" si="8"/>
        <v>yBenFlagL1</v>
      </c>
      <c r="K305" s="2" t="s">
        <v>786</v>
      </c>
      <c r="L305" s="2" t="s">
        <v>334</v>
      </c>
      <c r="M305" s="10" t="str">
        <f t="shared" si="9"/>
        <v>No</v>
      </c>
      <c r="S305" s="2" t="s">
        <v>480</v>
      </c>
    </row>
    <row r="306" spans="1:21" ht="48" x14ac:dyDescent="0.2">
      <c r="A306" s="2" t="s">
        <v>252</v>
      </c>
      <c r="C306" s="10" t="str" cm="1">
        <f t="array" ref="C306">_xlfn.IFS(S306 = Modules!$A$2,Modules!$B$2,S306 = Modules!$A$3,Modules!$B$3,S306 = Modules!$A$4,Modules!$B$4,S306 = Modules!$A$5,Modules!$B$5,S306 = Modules!$A$6,Modules!$B$6,S306 = Modules!$A$7,Modules!$B$7,S306 = Modules!$A$8,Modules!$B$8,S306 = Modules!$A$9,Modules!$B$9,S306 = Modules!$A$10,Modules!$B$10,S306 = Modules!$A$11,Modules!$B$11,S306 = Modules!$A$12,Modules!$B$12, S306 = Modules!$A$13,Modules!$B$13)</f>
        <v>y</v>
      </c>
      <c r="D306" s="2" t="s">
        <v>1067</v>
      </c>
      <c r="F306" s="2" t="s">
        <v>1147</v>
      </c>
      <c r="H306" s="2" t="s">
        <v>981</v>
      </c>
      <c r="J306" s="10" t="str">
        <f t="shared" si="8"/>
        <v>yBenNonUCFlag</v>
      </c>
      <c r="K306" s="2" t="s">
        <v>780</v>
      </c>
      <c r="L306" s="10" t="s">
        <v>334</v>
      </c>
      <c r="M306" s="10" t="str">
        <f t="shared" si="9"/>
        <v>No</v>
      </c>
      <c r="S306" s="2" t="s">
        <v>480</v>
      </c>
      <c r="U306" s="10" t="s">
        <v>784</v>
      </c>
    </row>
    <row r="307" spans="1:21" ht="16" x14ac:dyDescent="0.2">
      <c r="A307" s="2" t="s">
        <v>380</v>
      </c>
      <c r="C307" s="10" t="str" cm="1">
        <f t="array" ref="C307">_xlfn.IFS(S307 = Modules!$A$2,Modules!$B$2,S307 = Modules!$A$3,Modules!$B$3,S307 = Modules!$A$4,Modules!$B$4,S307 = Modules!$A$5,Modules!$B$5,S307 = Modules!$A$6,Modules!$B$6,S307 = Modules!$A$7,Modules!$B$7,S307 = Modules!$A$8,Modules!$B$8,S307 = Modules!$A$9,Modules!$B$9,S307 = Modules!$A$10,Modules!$B$10,S307 = Modules!$A$11,Modules!$B$11,S307 = Modules!$A$12,Modules!$B$12, S307 = Modules!$A$13,Modules!$B$13)</f>
        <v>y</v>
      </c>
      <c r="D307" s="2" t="s">
        <v>1067</v>
      </c>
      <c r="F307" s="2" t="s">
        <v>1147</v>
      </c>
      <c r="H307" s="2" t="s">
        <v>981</v>
      </c>
      <c r="I307" s="2" t="s">
        <v>1063</v>
      </c>
      <c r="J307" s="10" t="str">
        <f t="shared" si="8"/>
        <v>yBenNonUCFlagL1</v>
      </c>
      <c r="K307" s="2" t="s">
        <v>787</v>
      </c>
      <c r="L307" s="2" t="s">
        <v>334</v>
      </c>
      <c r="M307" s="10" t="str">
        <f t="shared" si="9"/>
        <v>No</v>
      </c>
      <c r="S307" s="2" t="s">
        <v>480</v>
      </c>
    </row>
    <row r="308" spans="1:21" ht="13.5" customHeight="1" x14ac:dyDescent="0.2">
      <c r="A308" s="2" t="s">
        <v>253</v>
      </c>
      <c r="C308" s="10" t="str" cm="1">
        <f t="array" ref="C308">_xlfn.IFS(S308 = Modules!$A$2,Modules!$B$2,S308 = Modules!$A$3,Modules!$B$3,S308 = Modules!$A$4,Modules!$B$4,S308 = Modules!$A$5,Modules!$B$5,S308 = Modules!$A$6,Modules!$B$6,S308 = Modules!$A$7,Modules!$B$7,S308 = Modules!$A$8,Modules!$B$8,S308 = Modules!$A$9,Modules!$B$9,S308 = Modules!$A$10,Modules!$B$10,S308 = Modules!$A$11,Modules!$B$11,S308 = Modules!$A$12,Modules!$B$12, S308 = Modules!$A$13,Modules!$B$13)</f>
        <v>y</v>
      </c>
      <c r="D308" s="2" t="s">
        <v>1067</v>
      </c>
      <c r="F308" s="2" t="s">
        <v>1148</v>
      </c>
      <c r="H308" s="2" t="s">
        <v>981</v>
      </c>
      <c r="J308" s="10" t="str">
        <f t="shared" si="8"/>
        <v>yBenUCFlag</v>
      </c>
      <c r="K308" s="2" t="s">
        <v>782</v>
      </c>
      <c r="L308" s="10" t="s">
        <v>334</v>
      </c>
      <c r="M308" s="10" t="str">
        <f t="shared" si="9"/>
        <v>No</v>
      </c>
      <c r="S308" s="2" t="s">
        <v>480</v>
      </c>
      <c r="U308" s="10" t="s">
        <v>785</v>
      </c>
    </row>
    <row r="309" spans="1:21" ht="13.5" customHeight="1" x14ac:dyDescent="0.2">
      <c r="A309" s="2" t="s">
        <v>381</v>
      </c>
      <c r="C309" s="10" t="str" cm="1">
        <f t="array" ref="C309">_xlfn.IFS(S309 = Modules!$A$2,Modules!$B$2,S309 = Modules!$A$3,Modules!$B$3,S309 = Modules!$A$4,Modules!$B$4,S309 = Modules!$A$5,Modules!$B$5,S309 = Modules!$A$6,Modules!$B$6,S309 = Modules!$A$7,Modules!$B$7,S309 = Modules!$A$8,Modules!$B$8,S309 = Modules!$A$9,Modules!$B$9,S309 = Modules!$A$10,Modules!$B$10,S309 = Modules!$A$11,Modules!$B$11,S309 = Modules!$A$12,Modules!$B$12, S309 = Modules!$A$13,Modules!$B$13)</f>
        <v>y</v>
      </c>
      <c r="D309" s="2" t="s">
        <v>1067</v>
      </c>
      <c r="F309" s="2" t="s">
        <v>1148</v>
      </c>
      <c r="H309" s="2" t="s">
        <v>981</v>
      </c>
      <c r="I309" s="2" t="s">
        <v>1063</v>
      </c>
      <c r="J309" s="10" t="str">
        <f t="shared" si="8"/>
        <v>yBenUCFlagL1</v>
      </c>
      <c r="K309" s="2" t="s">
        <v>788</v>
      </c>
      <c r="L309" s="2" t="s">
        <v>334</v>
      </c>
      <c r="M309" s="10" t="str">
        <f t="shared" si="9"/>
        <v>No</v>
      </c>
      <c r="S309" s="2" t="s">
        <v>480</v>
      </c>
    </row>
    <row r="310" spans="1:21" ht="13.5" customHeight="1" x14ac:dyDescent="0.2">
      <c r="A310" s="2" t="s">
        <v>188</v>
      </c>
      <c r="C310" s="10" t="str" cm="1">
        <f t="array" ref="C310">_xlfn.IFS(S310 = Modules!$A$2,Modules!$B$2,S310 = Modules!$A$3,Modules!$B$3,S310 = Modules!$A$4,Modules!$B$4,S310 = Modules!$A$5,Modules!$B$5,S310 = Modules!$A$6,Modules!$B$6,S310 = Modules!$A$7,Modules!$B$7,S310 = Modules!$A$8,Modules!$B$8,S310 = Modules!$A$9,Modules!$B$9,S310 = Modules!$A$10,Modules!$B$10,S310 = Modules!$A$11,Modules!$B$11,S310 = Modules!$A$12,Modules!$B$12, S310 = Modules!$A$13,Modules!$B$13)</f>
        <v>dem</v>
      </c>
      <c r="D310" s="2" t="s">
        <v>1144</v>
      </c>
      <c r="J310" s="10" t="str">
        <f t="shared" si="8"/>
        <v>demRgn</v>
      </c>
      <c r="K310" s="2" t="s">
        <v>730</v>
      </c>
      <c r="L310" s="10" t="s">
        <v>451</v>
      </c>
      <c r="M310" s="10" t="str">
        <f t="shared" si="9"/>
        <v>No</v>
      </c>
      <c r="N310" s="2" t="s">
        <v>119</v>
      </c>
      <c r="S310" s="2" t="s">
        <v>975</v>
      </c>
      <c r="U310" s="2" t="s">
        <v>732</v>
      </c>
    </row>
    <row r="311" spans="1:21" ht="13.5" customHeight="1" x14ac:dyDescent="0.2">
      <c r="A311" s="2" t="s">
        <v>415</v>
      </c>
      <c r="B311" s="2" t="s">
        <v>1235</v>
      </c>
      <c r="C311" s="10" t="str" cm="1">
        <f t="array" ref="C311">_xlfn.IFS(S311 = Modules!$A$2,Modules!$B$2,S311 = Modules!$A$3,Modules!$B$3,S311 = Modules!$A$4,Modules!$B$4,S311 = Modules!$A$5,Modules!$B$5,S311 = Modules!$A$6,Modules!$B$6,S311 = Modules!$A$7,Modules!$B$7,S311 = Modules!$A$8,Modules!$B$8,S311 = Modules!$A$9,Modules!$B$9,S311 = Modules!$A$10,Modules!$B$10,S311 = Modules!$A$11,Modules!$B$11,S311 = Modules!$A$12,Modules!$B$12, S311 = Modules!$A$13,Modules!$B$13)</f>
        <v>dem</v>
      </c>
      <c r="D311" s="2" t="s">
        <v>1144</v>
      </c>
      <c r="J311" s="10" t="str">
        <f t="shared" si="8"/>
        <v>i_demRgn</v>
      </c>
      <c r="K311" s="2" t="s">
        <v>886</v>
      </c>
      <c r="L311" s="2" t="s">
        <v>334</v>
      </c>
      <c r="M311" s="10" t="str">
        <f t="shared" si="9"/>
        <v>No</v>
      </c>
      <c r="S311" s="2" t="s">
        <v>975</v>
      </c>
      <c r="U311" s="2" t="s">
        <v>884</v>
      </c>
    </row>
    <row r="312" spans="1:21" ht="13.5" customHeight="1" x14ac:dyDescent="0.2">
      <c r="A312" s="2" t="s">
        <v>171</v>
      </c>
      <c r="C312" s="10" t="str" cm="1">
        <f t="array" ref="C312">_xlfn.IFS(S312 = Modules!$A$2,Modules!$B$2,S312 = Modules!$A$3,Modules!$B$3,S312 = Modules!$A$4,Modules!$B$4,S312 = Modules!$A$5,Modules!$B$5,S312 = Modules!$A$6,Modules!$B$6,S312 = Modules!$A$7,Modules!$B$7,S312 = Modules!$A$8,Modules!$B$8,S312 = Modules!$A$9,Modules!$B$9,S312 = Modules!$A$10,Modules!$B$10,S312 = Modules!$A$11,Modules!$B$11,S312 = Modules!$A$12,Modules!$B$12, S312 = Modules!$A$13,Modules!$B$13)</f>
        <v>stat</v>
      </c>
      <c r="D312" s="2" t="s">
        <v>1246</v>
      </c>
      <c r="J312" s="10" t="str">
        <f t="shared" si="8"/>
        <v>statRun</v>
      </c>
      <c r="K312" s="2" t="s">
        <v>705</v>
      </c>
      <c r="L312" s="10"/>
      <c r="M312" s="10" t="str">
        <f t="shared" si="9"/>
        <v>No</v>
      </c>
      <c r="R312" s="4" t="s">
        <v>707</v>
      </c>
      <c r="S312" s="2" t="s">
        <v>973</v>
      </c>
    </row>
    <row r="313" spans="1:21" ht="13.5" customHeight="1" x14ac:dyDescent="0.2">
      <c r="A313" s="10" t="s">
        <v>254</v>
      </c>
      <c r="B313" s="10"/>
      <c r="C313" s="10" t="str" cm="1">
        <f t="array" ref="C313">_xlfn.IFS(S313 = Modules!$A$2,Modules!$B$2,S313 = Modules!$A$3,Modules!$B$3,S313 = Modules!$A$4,Modules!$B$4,S313 = Modules!$A$5,Modules!$B$5,S313 = Modules!$A$6,Modules!$B$6,S313 = Modules!$A$7,Modules!$B$7,S313 = Modules!$A$8,Modules!$B$8,S313 = Modules!$A$9,Modules!$B$9,S313 = Modules!$A$10,Modules!$B$10,S313 = Modules!$A$11,Modules!$B$11,S313 = Modules!$A$12,Modules!$B$12, S313 = Modules!$A$13,Modules!$B$13)</f>
        <v>dem</v>
      </c>
      <c r="D313" s="2" t="s">
        <v>1089</v>
      </c>
      <c r="E313" s="10" t="s">
        <v>941</v>
      </c>
      <c r="F313" s="10"/>
      <c r="G313" s="10"/>
      <c r="H313" s="10"/>
      <c r="I313" s="10"/>
      <c r="J313" s="10" t="str">
        <f t="shared" si="8"/>
        <v>demEnterSample</v>
      </c>
      <c r="K313" s="2" t="s">
        <v>1233</v>
      </c>
      <c r="L313" s="2" t="s">
        <v>334</v>
      </c>
      <c r="M313" s="10" t="str">
        <f t="shared" si="9"/>
        <v>No</v>
      </c>
      <c r="S313" s="2" t="s">
        <v>975</v>
      </c>
      <c r="U313" s="2" t="s">
        <v>790</v>
      </c>
    </row>
    <row r="314" spans="1:21" ht="13.5" customHeight="1" x14ac:dyDescent="0.2">
      <c r="A314" s="10" t="s">
        <v>255</v>
      </c>
      <c r="B314" s="10"/>
      <c r="C314" s="10" t="str" cm="1">
        <f t="array" ref="C314">_xlfn.IFS(S314 = Modules!$A$2,Modules!$B$2,S314 = Modules!$A$3,Modules!$B$3,S314 = Modules!$A$4,Modules!$B$4,S314 = Modules!$A$5,Modules!$B$5,S314 = Modules!$A$6,Modules!$B$6,S314 = Modules!$A$7,Modules!$B$7,S314 = Modules!$A$8,Modules!$B$8,S314 = Modules!$A$9,Modules!$B$9,S314 = Modules!$A$10,Modules!$B$10,S314 = Modules!$A$11,Modules!$B$11,S314 = Modules!$A$12,Modules!$B$12, S314 = Modules!$A$13,Modules!$B$13)</f>
        <v>dem</v>
      </c>
      <c r="D314" s="2" t="s">
        <v>1090</v>
      </c>
      <c r="E314" s="10" t="s">
        <v>941</v>
      </c>
      <c r="F314" s="10"/>
      <c r="G314" s="10"/>
      <c r="H314" s="10"/>
      <c r="I314" s="10"/>
      <c r="J314" s="10" t="str">
        <f t="shared" si="8"/>
        <v>demExitSample</v>
      </c>
      <c r="K314" s="2" t="s">
        <v>789</v>
      </c>
      <c r="L314" s="2" t="s">
        <v>334</v>
      </c>
      <c r="M314" s="10" t="str">
        <f t="shared" si="9"/>
        <v>No</v>
      </c>
      <c r="S314" s="2" t="s">
        <v>975</v>
      </c>
      <c r="U314" s="2" t="s">
        <v>790</v>
      </c>
    </row>
    <row r="315" spans="1:21" ht="13.5" customHeight="1" x14ac:dyDescent="0.2">
      <c r="A315" s="2" t="s">
        <v>104</v>
      </c>
      <c r="C315" s="10" t="str" cm="1">
        <f t="array" ref="C315">_xlfn.IFS(S315 = Modules!$A$2,Modules!$B$2,S315 = Modules!$A$3,Modules!$B$3,S315 = Modules!$A$4,Modules!$B$4,S315 = Modules!$A$5,Modules!$B$5,S315 = Modules!$A$6,Modules!$B$6,S315 = Modules!$A$7,Modules!$B$7,S315 = Modules!$A$8,Modules!$B$8,S315 = Modules!$A$9,Modules!$B$9,S315 = Modules!$A$10,Modules!$B$10,S315 = Modules!$A$11,Modules!$B$11,S315 = Modules!$A$12,Modules!$B$12, S315 = Modules!$A$13,Modules!$B$13)</f>
        <v>edu</v>
      </c>
      <c r="E315" s="2" t="s">
        <v>941</v>
      </c>
      <c r="H315" s="2" t="s">
        <v>981</v>
      </c>
      <c r="J315" s="10" t="str">
        <f t="shared" si="8"/>
        <v>eduSampleFlag</v>
      </c>
      <c r="K315" s="2" t="s">
        <v>933</v>
      </c>
      <c r="L315" s="2" t="s">
        <v>170</v>
      </c>
      <c r="M315" s="10" t="str">
        <f t="shared" si="9"/>
        <v>Yes</v>
      </c>
      <c r="N315" s="2" t="s">
        <v>107</v>
      </c>
      <c r="O315" s="2" t="s">
        <v>521</v>
      </c>
      <c r="P315" s="2" t="s">
        <v>1312</v>
      </c>
      <c r="Q315" s="6" t="s">
        <v>1253</v>
      </c>
      <c r="S315" s="2" t="s">
        <v>544</v>
      </c>
      <c r="U315" s="2" t="s">
        <v>106</v>
      </c>
    </row>
    <row r="316" spans="1:21" ht="13.5" customHeight="1" x14ac:dyDescent="0.2">
      <c r="A316" s="2" t="s">
        <v>123</v>
      </c>
      <c r="C316" s="10" t="str" cm="1">
        <f t="array" ref="C316">_xlfn.IFS(S316 = Modules!$A$2,Modules!$B$2,S316 = Modules!$A$3,Modules!$B$3,S316 = Modules!$A$4,Modules!$B$4,S316 = Modules!$A$5,Modules!$B$5,S316 = Modules!$A$6,Modules!$B$6,S316 = Modules!$A$7,Modules!$B$7,S316 = Modules!$A$8,Modules!$B$8,S316 = Modules!$A$9,Modules!$B$9,S316 = Modules!$A$10,Modules!$B$10,S316 = Modules!$A$11,Modules!$B$11,S316 = Modules!$A$12,Modules!$B$12, S316 = Modules!$A$13,Modules!$B$13)</f>
        <v>dem</v>
      </c>
      <c r="D316" s="2" t="s">
        <v>1122</v>
      </c>
      <c r="F316" s="2" t="s">
        <v>1123</v>
      </c>
      <c r="G316" s="2" t="s">
        <v>1212</v>
      </c>
      <c r="J316" s="10" t="str">
        <f t="shared" si="8"/>
        <v>demWbScore0to12</v>
      </c>
      <c r="K316" s="2" t="s">
        <v>603</v>
      </c>
      <c r="L316" s="8" t="s">
        <v>170</v>
      </c>
      <c r="M316" s="10" t="str">
        <f t="shared" si="9"/>
        <v>Yes</v>
      </c>
      <c r="N316" s="2" t="s">
        <v>123</v>
      </c>
      <c r="O316" s="2" t="s">
        <v>521</v>
      </c>
      <c r="S316" s="2" t="s">
        <v>975</v>
      </c>
      <c r="U316" s="2" t="s">
        <v>601</v>
      </c>
    </row>
    <row r="317" spans="1:21" ht="13.5" customHeight="1" x14ac:dyDescent="0.2">
      <c r="A317" s="2" t="s">
        <v>423</v>
      </c>
      <c r="C317" s="10" t="str" cm="1">
        <f t="array" ref="C317">_xlfn.IFS(S317 = Modules!$A$2,Modules!$B$2,S317 = Modules!$A$3,Modules!$B$3,S317 = Modules!$A$4,Modules!$B$4,S317 = Modules!$A$5,Modules!$B$5,S317 = Modules!$A$6,Modules!$B$6,S317 = Modules!$A$7,Modules!$B$7,S317 = Modules!$A$8,Modules!$B$8,S317 = Modules!$A$9,Modules!$B$9,S317 = Modules!$A$10,Modules!$B$10,S317 = Modules!$A$11,Modules!$B$11,S317 = Modules!$A$12,Modules!$B$12, S317 = Modules!$A$13,Modules!$B$13)</f>
        <v>stat</v>
      </c>
      <c r="E317" s="2" t="s">
        <v>1081</v>
      </c>
      <c r="F317" s="2" t="s">
        <v>1123</v>
      </c>
      <c r="J317" s="10" t="str">
        <f t="shared" si="8"/>
        <v>statFScore</v>
      </c>
      <c r="K317" s="2" t="s">
        <v>1395</v>
      </c>
      <c r="L317" s="2" t="s">
        <v>334</v>
      </c>
      <c r="M317" s="10" t="str">
        <f t="shared" si="9"/>
        <v>No</v>
      </c>
      <c r="S317" s="2" t="s">
        <v>973</v>
      </c>
    </row>
    <row r="318" spans="1:21" ht="13.5" customHeight="1" x14ac:dyDescent="0.2">
      <c r="A318" s="2" t="s">
        <v>424</v>
      </c>
      <c r="C318" s="10" t="str" cm="1">
        <f t="array" ref="C318">_xlfn.IFS(S318 = Modules!$A$2,Modules!$B$2,S318 = Modules!$A$3,Modules!$B$3,S318 = Modules!$A$4,Modules!$B$4,S318 = Modules!$A$5,Modules!$B$5,S318 = Modules!$A$6,Modules!$B$6,S318 = Modules!$A$7,Modules!$B$7,S318 = Modules!$A$8,Modules!$B$8,S318 = Modules!$A$9,Modules!$B$9,S318 = Modules!$A$10,Modules!$B$10,S318 = Modules!$A$11,Modules!$B$11,S318 = Modules!$A$12,Modules!$B$12, S318 = Modules!$A$13,Modules!$B$13)</f>
        <v>stat</v>
      </c>
      <c r="E318" s="2" t="s">
        <v>1082</v>
      </c>
      <c r="F318" s="2" t="s">
        <v>1123</v>
      </c>
      <c r="J318" s="10" t="str">
        <f t="shared" si="8"/>
        <v>statMScore</v>
      </c>
      <c r="K318" s="2" t="s">
        <v>1396</v>
      </c>
      <c r="L318" s="2" t="s">
        <v>334</v>
      </c>
      <c r="M318" s="10" t="str">
        <f t="shared" si="9"/>
        <v>No</v>
      </c>
      <c r="S318" s="2" t="s">
        <v>973</v>
      </c>
    </row>
    <row r="319" spans="1:21" ht="13.5" customHeight="1" x14ac:dyDescent="0.2">
      <c r="A319" s="2" t="s">
        <v>135</v>
      </c>
      <c r="C319" s="10" t="str" cm="1">
        <f t="array" ref="C319">_xlfn.IFS(S319 = Modules!$A$2,Modules!$B$2,S319 = Modules!$A$3,Modules!$B$3,S319 = Modules!$A$4,Modules!$B$4,S319 = Modules!$A$5,Modules!$B$5,S319 = Modules!$A$6,Modules!$B$6,S319 = Modules!$A$7,Modules!$B$7,S319 = Modules!$A$8,Modules!$B$8,S319 = Modules!$A$9,Modules!$B$9,S319 = Modules!$A$10,Modules!$B$10,S319 = Modules!$A$11,Modules!$B$11,S319 = Modules!$A$12,Modules!$B$12, S319 = Modules!$A$13,Modules!$B$13)</f>
        <v>dem</v>
      </c>
      <c r="D319" s="2" t="s">
        <v>468</v>
      </c>
      <c r="E319" s="2" t="s">
        <v>1194</v>
      </c>
      <c r="F319" s="2" t="s">
        <v>1213</v>
      </c>
      <c r="H319" s="2" t="s">
        <v>981</v>
      </c>
      <c r="J319" s="10" t="str">
        <f t="shared" si="8"/>
        <v>demAgeEduRangeFlag</v>
      </c>
      <c r="K319" s="2" t="s">
        <v>942</v>
      </c>
      <c r="L319" s="8" t="s">
        <v>170</v>
      </c>
      <c r="M319" s="10" t="str">
        <f t="shared" si="9"/>
        <v>Yes</v>
      </c>
      <c r="N319" s="2" t="s">
        <v>661</v>
      </c>
      <c r="O319" s="2" t="s">
        <v>521</v>
      </c>
      <c r="P319" s="2" t="s">
        <v>1294</v>
      </c>
      <c r="Q319" s="6" t="s">
        <v>1253</v>
      </c>
      <c r="S319" s="2" t="s">
        <v>975</v>
      </c>
    </row>
    <row r="320" spans="1:21" ht="64" x14ac:dyDescent="0.2">
      <c r="A320" s="2" t="s">
        <v>101</v>
      </c>
      <c r="C320" s="10" t="str" cm="1">
        <f t="array" ref="C320">_xlfn.IFS(S320 = Modules!$A$2,Modules!$B$2,S320 = Modules!$A$3,Modules!$B$3,S320 = Modules!$A$4,Modules!$B$4,S320 = Modules!$A$5,Modules!$B$5,S320 = Modules!$A$6,Modules!$B$6,S320 = Modules!$A$7,Modules!$B$7,S320 = Modules!$A$8,Modules!$B$8,S320 = Modules!$A$9,Modules!$B$9,S320 = Modules!$A$10,Modules!$B$10,S320 = Modules!$A$11,Modules!$B$11,S320 = Modules!$A$12,Modules!$B$12, S320 = Modules!$A$13,Modules!$B$13)</f>
        <v>edu</v>
      </c>
      <c r="E320" s="2" t="s">
        <v>941</v>
      </c>
      <c r="H320" s="2" t="s">
        <v>981</v>
      </c>
      <c r="J320" s="10" t="str">
        <f t="shared" si="8"/>
        <v>eduSampleFlag</v>
      </c>
      <c r="K320" s="2" t="s">
        <v>931</v>
      </c>
      <c r="L320" s="2" t="s">
        <v>170</v>
      </c>
      <c r="M320" s="10" t="str">
        <f t="shared" si="9"/>
        <v>Yes</v>
      </c>
      <c r="N320" s="2" t="s">
        <v>652</v>
      </c>
      <c r="O320" s="2" t="s">
        <v>521</v>
      </c>
      <c r="P320" s="2" t="s">
        <v>1313</v>
      </c>
      <c r="Q320" s="6" t="s">
        <v>1253</v>
      </c>
      <c r="S320" s="2" t="s">
        <v>544</v>
      </c>
      <c r="U320" s="2" t="s">
        <v>105</v>
      </c>
    </row>
    <row r="321" spans="1:21" ht="48" x14ac:dyDescent="0.2">
      <c r="A321" s="2" t="s">
        <v>48</v>
      </c>
      <c r="C321" s="10" t="str" cm="1">
        <f t="array" ref="C321">_xlfn.IFS(S321 = Modules!$A$2,Modules!$B$2,S321 = Modules!$A$3,Modules!$B$3,S321 = Modules!$A$4,Modules!$B$4,S321 = Modules!$A$5,Modules!$B$5,S321 = Modules!$A$6,Modules!$B$6,S321 = Modules!$A$7,Modules!$B$7,S321 = Modules!$A$8,Modules!$B$8,S321 = Modules!$A$9,Modules!$B$9,S321 = Modules!$A$10,Modules!$B$10,S321 = Modules!$A$11,Modules!$B$11,S321 = Modules!$A$12,Modules!$B$12, S321 = Modules!$A$13,Modules!$B$13)</f>
        <v>edu</v>
      </c>
      <c r="D321" s="2" t="s">
        <v>1090</v>
      </c>
      <c r="E321" s="10" t="s">
        <v>941</v>
      </c>
      <c r="H321" s="2" t="s">
        <v>981</v>
      </c>
      <c r="J321" s="10" t="str">
        <f t="shared" ref="J321:J384" si="10">CONCATENATE(B321, C321,D321,E321,F321,G321,H321,I321)</f>
        <v>eduExitSampleFlag</v>
      </c>
      <c r="K321" s="2" t="s">
        <v>928</v>
      </c>
      <c r="L321" s="2" t="s">
        <v>334</v>
      </c>
      <c r="M321" s="10" t="str">
        <f t="shared" ref="M321:M384" si="11">IF(OR(O321&lt;&gt;"", Q321&lt;&gt;""),"Yes","No")</f>
        <v>Yes</v>
      </c>
      <c r="N321" s="2" t="s">
        <v>649</v>
      </c>
      <c r="O321" s="2" t="s">
        <v>521</v>
      </c>
      <c r="P321" s="2" t="s">
        <v>1290</v>
      </c>
      <c r="Q321" s="6" t="s">
        <v>1253</v>
      </c>
      <c r="S321" s="2" t="s">
        <v>544</v>
      </c>
      <c r="U321" s="2" t="s">
        <v>38</v>
      </c>
    </row>
    <row r="322" spans="1:21" ht="96" x14ac:dyDescent="0.2">
      <c r="A322" s="2" t="s">
        <v>102</v>
      </c>
      <c r="C322" s="10" t="str" cm="1">
        <f t="array" ref="C322">_xlfn.IFS(S322 = Modules!$A$2,Modules!$B$2,S322 = Modules!$A$3,Modules!$B$3,S322 = Modules!$A$4,Modules!$B$4,S322 = Modules!$A$5,Modules!$B$5,S322 = Modules!$A$6,Modules!$B$6,S322 = Modules!$A$7,Modules!$B$7,S322 = Modules!$A$8,Modules!$B$8,S322 = Modules!$A$9,Modules!$B$9,S322 = Modules!$A$10,Modules!$B$10,S322 = Modules!$A$11,Modules!$B$11,S322 = Modules!$A$12,Modules!$B$12, S322 = Modules!$A$13,Modules!$B$13)</f>
        <v>edu</v>
      </c>
      <c r="D322" s="2" t="s">
        <v>1096</v>
      </c>
      <c r="E322" s="2" t="s">
        <v>941</v>
      </c>
      <c r="H322" s="2" t="s">
        <v>981</v>
      </c>
      <c r="J322" s="10" t="str">
        <f t="shared" si="10"/>
        <v>eduReturnSampleFlag</v>
      </c>
      <c r="K322" s="2" t="s">
        <v>932</v>
      </c>
      <c r="L322" s="2" t="s">
        <v>170</v>
      </c>
      <c r="M322" s="10" t="str">
        <f t="shared" si="11"/>
        <v>Yes</v>
      </c>
      <c r="N322" s="2" t="s">
        <v>1310</v>
      </c>
      <c r="O322" s="2" t="s">
        <v>521</v>
      </c>
      <c r="P322" s="2" t="s">
        <v>1311</v>
      </c>
      <c r="Q322" s="6" t="s">
        <v>1253</v>
      </c>
      <c r="S322" s="2" t="s">
        <v>544</v>
      </c>
      <c r="U322" s="2" t="s">
        <v>103</v>
      </c>
    </row>
    <row r="323" spans="1:21" ht="16" x14ac:dyDescent="0.2">
      <c r="A323" s="2" t="s">
        <v>189</v>
      </c>
      <c r="C323" s="10" t="str" cm="1">
        <f t="array" ref="C323">_xlfn.IFS(S323 = Modules!$A$2,Modules!$B$2,S323 = Modules!$A$3,Modules!$B$3,S323 = Modules!$A$4,Modules!$B$4,S323 = Modules!$A$5,Modules!$B$5,S323 = Modules!$A$6,Modules!$B$6,S323 = Modules!$A$7,Modules!$B$7,S323 = Modules!$A$8,Modules!$B$8,S323 = Modules!$A$9,Modules!$B$9,S323 = Modules!$A$10,Modules!$B$10,S323 = Modules!$A$11,Modules!$B$11,S323 = Modules!$A$12,Modules!$B$12, S323 = Modules!$A$13,Modules!$B$13)</f>
        <v>stat</v>
      </c>
      <c r="D323" s="2" t="s">
        <v>733</v>
      </c>
      <c r="J323" s="10" t="str">
        <f t="shared" si="10"/>
        <v>statSeed</v>
      </c>
      <c r="K323" s="2" t="s">
        <v>733</v>
      </c>
      <c r="L323" s="10" t="s">
        <v>451</v>
      </c>
      <c r="M323" s="10" t="str">
        <f t="shared" si="11"/>
        <v>No</v>
      </c>
      <c r="S323" s="2" t="s">
        <v>973</v>
      </c>
    </row>
    <row r="324" spans="1:21" ht="13.5" customHeight="1" x14ac:dyDescent="0.2">
      <c r="A324" s="10" t="s">
        <v>325</v>
      </c>
      <c r="B324" s="10"/>
      <c r="C324" s="10" t="str" cm="1">
        <f t="array" ref="C324">_xlfn.IFS(S324 = Modules!$A$2,Modules!$B$2,S324 = Modules!$A$3,Modules!$B$3,S324 = Modules!$A$4,Modules!$B$4,S324 = Modules!$A$5,Modules!$B$5,S324 = Modules!$A$6,Modules!$B$6,S324 = Modules!$A$7,Modules!$B$7,S324 = Modules!$A$8,Modules!$B$8,S324 = Modules!$A$9,Modules!$B$9,S324 = Modules!$A$10,Modules!$B$10,S324 = Modules!$A$11,Modules!$B$11,S324 = Modules!$A$12,Modules!$B$12, S324 = Modules!$A$13,Modules!$B$13)</f>
        <v>dem</v>
      </c>
      <c r="E324" s="2" t="s">
        <v>1087</v>
      </c>
      <c r="F324" s="10"/>
      <c r="G324" s="10" t="s">
        <v>1155</v>
      </c>
      <c r="H324" s="10" t="s">
        <v>1053</v>
      </c>
      <c r="I324" s="10"/>
      <c r="J324" s="10" t="str">
        <f t="shared" si="10"/>
        <v>demPartnerSimShare</v>
      </c>
      <c r="K324" s="2" t="s">
        <v>859</v>
      </c>
      <c r="L324" s="10" t="s">
        <v>1036</v>
      </c>
      <c r="M324" s="10" t="str">
        <f t="shared" si="11"/>
        <v>No</v>
      </c>
      <c r="R324" s="4" t="s">
        <v>795</v>
      </c>
      <c r="S324" s="2" t="s">
        <v>975</v>
      </c>
    </row>
    <row r="325" spans="1:21" ht="13.5" customHeight="1" x14ac:dyDescent="0.2">
      <c r="A325" s="10" t="s">
        <v>326</v>
      </c>
      <c r="B325" s="10"/>
      <c r="C325" s="10" t="str" cm="1">
        <f t="array" ref="C325">_xlfn.IFS(S325 = Modules!$A$2,Modules!$B$2,S325 = Modules!$A$3,Modules!$B$3,S325 = Modules!$A$4,Modules!$B$4,S325 = Modules!$A$5,Modules!$B$5,S325 = Modules!$A$6,Modules!$B$6,S325 = Modules!$A$7,Modules!$B$7,S325 = Modules!$A$8,Modules!$B$8,S325 = Modules!$A$9,Modules!$B$9,S325 = Modules!$A$10,Modules!$B$10,S325 = Modules!$A$11,Modules!$B$11,S325 = Modules!$A$12,Modules!$B$12, S325 = Modules!$A$13,Modules!$B$13)</f>
        <v>dem</v>
      </c>
      <c r="E325" s="2" t="s">
        <v>1087</v>
      </c>
      <c r="F325" s="10"/>
      <c r="G325" s="10" t="s">
        <v>1156</v>
      </c>
      <c r="H325" s="10" t="s">
        <v>1053</v>
      </c>
      <c r="I325" s="10"/>
      <c r="J325" s="10" t="str">
        <f t="shared" si="10"/>
        <v>demPartnerTargetShare</v>
      </c>
      <c r="K325" s="2" t="s">
        <v>860</v>
      </c>
      <c r="L325" s="10" t="s">
        <v>1036</v>
      </c>
      <c r="M325" s="10" t="str">
        <f t="shared" si="11"/>
        <v>No</v>
      </c>
      <c r="R325" s="4" t="s">
        <v>795</v>
      </c>
      <c r="S325" s="2" t="s">
        <v>975</v>
      </c>
    </row>
    <row r="326" spans="1:21" ht="13.5" customHeight="1" x14ac:dyDescent="0.2">
      <c r="A326" s="2" t="s">
        <v>327</v>
      </c>
      <c r="C326" s="10" t="str" cm="1">
        <f t="array" ref="C326">_xlfn.IFS(S326 = Modules!$A$2,Modules!$B$2,S326 = Modules!$A$3,Modules!$B$3,S326 = Modules!$A$4,Modules!$B$4,S326 = Modules!$A$5,Modules!$B$5,S326 = Modules!$A$6,Modules!$B$6,S326 = Modules!$A$7,Modules!$B$7,S326 = Modules!$A$8,Modules!$B$8,S326 = Modules!$A$9,Modules!$B$9,S326 = Modules!$A$10,Modules!$B$10,S326 = Modules!$A$11,Modules!$B$11,S326 = Modules!$A$12,Modules!$B$12, S326 = Modules!$A$13,Modules!$B$13)</f>
        <v>care</v>
      </c>
      <c r="F326" s="2" t="s">
        <v>1153</v>
      </c>
      <c r="J326" s="10" t="str">
        <f t="shared" si="10"/>
        <v>careAdj</v>
      </c>
      <c r="K326" s="2" t="s">
        <v>861</v>
      </c>
      <c r="L326" s="10" t="s">
        <v>1036</v>
      </c>
      <c r="M326" s="10" t="str">
        <f t="shared" si="11"/>
        <v>No</v>
      </c>
      <c r="R326" s="4" t="s">
        <v>795</v>
      </c>
      <c r="S326" s="2" t="s">
        <v>971</v>
      </c>
    </row>
    <row r="327" spans="1:21" ht="13.5" customHeight="1" x14ac:dyDescent="0.2">
      <c r="A327" s="10" t="s">
        <v>190</v>
      </c>
      <c r="B327" s="10"/>
      <c r="C327" s="10" t="str" cm="1">
        <f t="array" ref="C327">_xlfn.IFS(S327 = Modules!$A$2,Modules!$B$2,S327 = Modules!$A$3,Modules!$B$3,S327 = Modules!$A$4,Modules!$B$4,S327 = Modules!$A$5,Modules!$B$5,S327 = Modules!$A$6,Modules!$B$6,S327 = Modules!$A$7,Modules!$B$7,S327 = Modules!$A$8,Modules!$B$8,S327 = Modules!$A$9,Modules!$B$9,S327 = Modules!$A$10,Modules!$B$10,S327 = Modules!$A$11,Modules!$B$11,S327 = Modules!$A$12,Modules!$B$12, S327 = Modules!$A$13,Modules!$B$13)</f>
        <v>x</v>
      </c>
      <c r="D327" s="2" t="s">
        <v>1071</v>
      </c>
      <c r="E327" s="10"/>
      <c r="F327" s="10"/>
      <c r="G327" s="10"/>
      <c r="H327" s="10"/>
      <c r="I327" s="10" t="s">
        <v>1015</v>
      </c>
      <c r="J327" s="10" t="str">
        <f t="shared" si="10"/>
        <v>xCareWeek</v>
      </c>
      <c r="K327" s="2" t="s">
        <v>734</v>
      </c>
      <c r="L327" s="10" t="s">
        <v>451</v>
      </c>
      <c r="M327" s="10" t="str">
        <f t="shared" si="11"/>
        <v>No</v>
      </c>
      <c r="S327" s="2" t="s">
        <v>595</v>
      </c>
    </row>
    <row r="328" spans="1:21" ht="13.5" customHeight="1" x14ac:dyDescent="0.2">
      <c r="A328" s="2" t="s">
        <v>342</v>
      </c>
      <c r="C328" s="10" t="str" cm="1">
        <f t="array" ref="C328">_xlfn.IFS(S328 = Modules!$A$2,Modules!$B$2,S328 = Modules!$A$3,Modules!$B$3,S328 = Modules!$A$4,Modules!$B$4,S328 = Modules!$A$5,Modules!$B$5,S328 = Modules!$A$6,Modules!$B$6,S328 = Modules!$A$7,Modules!$B$7,S328 = Modules!$A$8,Modules!$B$8,S328 = Modules!$A$9,Modules!$B$9,S328 = Modules!$A$10,Modules!$B$10,S328 = Modules!$A$11,Modules!$B$11,S328 = Modules!$A$12,Modules!$B$12, S328 = Modules!$A$13,Modules!$B$13)</f>
        <v>care</v>
      </c>
      <c r="E328" s="10"/>
      <c r="F328" s="10"/>
      <c r="G328" s="10" t="s">
        <v>1073</v>
      </c>
      <c r="H328" s="10" t="s">
        <v>981</v>
      </c>
      <c r="I328" s="10"/>
      <c r="J328" s="10" t="str">
        <f t="shared" si="10"/>
        <v>careFromDaughterFlag</v>
      </c>
      <c r="K328" s="2" t="s">
        <v>867</v>
      </c>
      <c r="L328" s="2" t="s">
        <v>334</v>
      </c>
      <c r="M328" s="10" t="str">
        <f t="shared" si="11"/>
        <v>No</v>
      </c>
      <c r="S328" s="2" t="s">
        <v>971</v>
      </c>
    </row>
    <row r="329" spans="1:21" ht="13.5" customHeight="1" x14ac:dyDescent="0.2">
      <c r="A329" s="2" t="s">
        <v>343</v>
      </c>
      <c r="C329" s="10" t="str" cm="1">
        <f t="array" ref="C329">_xlfn.IFS(S329 = Modules!$A$2,Modules!$B$2,S329 = Modules!$A$3,Modules!$B$3,S329 = Modules!$A$4,Modules!$B$4,S329 = Modules!$A$5,Modules!$B$5,S329 = Modules!$A$6,Modules!$B$6,S329 = Modules!$A$7,Modules!$B$7,S329 = Modules!$A$8,Modules!$B$8,S329 = Modules!$A$9,Modules!$B$9,S329 = Modules!$A$10,Modules!$B$10,S329 = Modules!$A$11,Modules!$B$11,S329 = Modules!$A$12,Modules!$B$12, S329 = Modules!$A$13,Modules!$B$13)</f>
        <v>care</v>
      </c>
      <c r="E329" s="10"/>
      <c r="F329" s="10"/>
      <c r="G329" s="10" t="s">
        <v>1072</v>
      </c>
      <c r="H329" s="10" t="s">
        <v>981</v>
      </c>
      <c r="I329" s="10"/>
      <c r="J329" s="10" t="str">
        <f t="shared" si="10"/>
        <v>careFormalFlag</v>
      </c>
      <c r="K329" s="6" t="s">
        <v>865</v>
      </c>
      <c r="L329" s="2" t="s">
        <v>334</v>
      </c>
      <c r="M329" s="10" t="str">
        <f t="shared" si="11"/>
        <v>No</v>
      </c>
      <c r="S329" s="2" t="s">
        <v>971</v>
      </c>
    </row>
    <row r="330" spans="1:21" ht="13.5" customHeight="1" x14ac:dyDescent="0.2">
      <c r="A330" s="2" t="s">
        <v>346</v>
      </c>
      <c r="C330" s="10" t="str" cm="1">
        <f t="array" ref="C330">_xlfn.IFS(S330 = Modules!$A$2,Modules!$B$2,S330 = Modules!$A$3,Modules!$B$3,S330 = Modules!$A$4,Modules!$B$4,S330 = Modules!$A$5,Modules!$B$5,S330 = Modules!$A$6,Modules!$B$6,S330 = Modules!$A$7,Modules!$B$7,S330 = Modules!$A$8,Modules!$B$8,S330 = Modules!$A$9,Modules!$B$9,S330 = Modules!$A$10,Modules!$B$10,S330 = Modules!$A$11,Modules!$B$11,S330 = Modules!$A$12,Modules!$B$12, S330 = Modules!$A$13,Modules!$B$13)</f>
        <v>care</v>
      </c>
      <c r="E330" s="10"/>
      <c r="F330" s="10"/>
      <c r="G330" s="10" t="s">
        <v>1074</v>
      </c>
      <c r="H330" s="10" t="s">
        <v>981</v>
      </c>
      <c r="I330" s="10"/>
      <c r="J330" s="10" t="str">
        <f t="shared" si="10"/>
        <v>careFromOtherFlag</v>
      </c>
      <c r="K330" s="6" t="s">
        <v>869</v>
      </c>
      <c r="L330" s="2" t="s">
        <v>334</v>
      </c>
      <c r="M330" s="10" t="str">
        <f t="shared" si="11"/>
        <v>No</v>
      </c>
      <c r="S330" s="2" t="s">
        <v>971</v>
      </c>
    </row>
    <row r="331" spans="1:21" ht="13.5" customHeight="1" x14ac:dyDescent="0.2">
      <c r="A331" s="2" t="s">
        <v>344</v>
      </c>
      <c r="C331" s="10" t="str" cm="1">
        <f t="array" ref="C331">_xlfn.IFS(S331 = Modules!$A$2,Modules!$B$2,S331 = Modules!$A$3,Modules!$B$3,S331 = Modules!$A$4,Modules!$B$4,S331 = Modules!$A$5,Modules!$B$5,S331 = Modules!$A$6,Modules!$B$6,S331 = Modules!$A$7,Modules!$B$7,S331 = Modules!$A$8,Modules!$B$8,S331 = Modules!$A$9,Modules!$B$9,S331 = Modules!$A$10,Modules!$B$10,S331 = Modules!$A$11,Modules!$B$11,S331 = Modules!$A$12,Modules!$B$12, S331 = Modules!$A$13,Modules!$B$13)</f>
        <v>care</v>
      </c>
      <c r="E331" s="10"/>
      <c r="F331" s="10"/>
      <c r="G331" s="10" t="s">
        <v>1076</v>
      </c>
      <c r="H331" s="10" t="s">
        <v>981</v>
      </c>
      <c r="I331" s="10"/>
      <c r="J331" s="10" t="str">
        <f t="shared" si="10"/>
        <v>careFromPartnerFlag</v>
      </c>
      <c r="K331" s="2" t="s">
        <v>866</v>
      </c>
      <c r="L331" s="2" t="s">
        <v>334</v>
      </c>
      <c r="M331" s="10" t="str">
        <f t="shared" si="11"/>
        <v>No</v>
      </c>
      <c r="S331" s="2" t="s">
        <v>971</v>
      </c>
    </row>
    <row r="332" spans="1:21" ht="13.5" customHeight="1" x14ac:dyDescent="0.2">
      <c r="A332" s="2" t="s">
        <v>345</v>
      </c>
      <c r="C332" s="10" t="str" cm="1">
        <f t="array" ref="C332">_xlfn.IFS(S332 = Modules!$A$2,Modules!$B$2,S332 = Modules!$A$3,Modules!$B$3,S332 = Modules!$A$4,Modules!$B$4,S332 = Modules!$A$5,Modules!$B$5,S332 = Modules!$A$6,Modules!$B$6,S332 = Modules!$A$7,Modules!$B$7,S332 = Modules!$A$8,Modules!$B$8,S332 = Modules!$A$9,Modules!$B$9,S332 = Modules!$A$10,Modules!$B$10,S332 = Modules!$A$11,Modules!$B$11,S332 = Modules!$A$12,Modules!$B$12, S332 = Modules!$A$13,Modules!$B$13)</f>
        <v>care</v>
      </c>
      <c r="E332" s="10"/>
      <c r="F332" s="10"/>
      <c r="G332" s="10" t="s">
        <v>1077</v>
      </c>
      <c r="H332" s="10" t="s">
        <v>981</v>
      </c>
      <c r="I332" s="10"/>
      <c r="J332" s="10" t="str">
        <f t="shared" si="10"/>
        <v>careFromSonFlag</v>
      </c>
      <c r="K332" s="6" t="s">
        <v>868</v>
      </c>
      <c r="L332" s="2" t="s">
        <v>334</v>
      </c>
      <c r="M332" s="10" t="str">
        <f t="shared" si="11"/>
        <v>No</v>
      </c>
      <c r="S332" s="2" t="s">
        <v>971</v>
      </c>
    </row>
    <row r="333" spans="1:21" ht="13.5" customHeight="1" x14ac:dyDescent="0.2">
      <c r="A333" s="10" t="s">
        <v>191</v>
      </c>
      <c r="B333" s="10"/>
      <c r="C333" s="10" t="str" cm="1">
        <f t="array" ref="C333">_xlfn.IFS(S333 = Modules!$A$2,Modules!$B$2,S333 = Modules!$A$3,Modules!$B$3,S333 = Modules!$A$4,Modules!$B$4,S333 = Modules!$A$5,Modules!$B$5,S333 = Modules!$A$6,Modules!$B$6,S333 = Modules!$A$7,Modules!$B$7,S333 = Modules!$A$8,Modules!$B$8,S333 = Modules!$A$9,Modules!$B$9,S333 = Modules!$A$10,Modules!$B$10,S333 = Modules!$A$11,Modules!$B$11,S333 = Modules!$A$12,Modules!$B$12, S333 = Modules!$A$13,Modules!$B$13)</f>
        <v>care</v>
      </c>
      <c r="E333" s="10"/>
      <c r="F333" s="10"/>
      <c r="G333" s="10" t="s">
        <v>1061</v>
      </c>
      <c r="H333" s="10" t="s">
        <v>981</v>
      </c>
      <c r="I333" s="10"/>
      <c r="J333" s="10" t="str">
        <f t="shared" si="10"/>
        <v>careProvidedFlag</v>
      </c>
      <c r="K333" s="2" t="s">
        <v>736</v>
      </c>
      <c r="L333" s="10" t="s">
        <v>451</v>
      </c>
      <c r="M333" s="10" t="str">
        <f t="shared" si="11"/>
        <v>No</v>
      </c>
      <c r="S333" s="2" t="s">
        <v>971</v>
      </c>
      <c r="U333" s="2" t="s">
        <v>735</v>
      </c>
    </row>
    <row r="334" spans="1:21" ht="13.5" customHeight="1" x14ac:dyDescent="0.2">
      <c r="A334" s="10" t="s">
        <v>347</v>
      </c>
      <c r="B334" s="10"/>
      <c r="C334" s="10" t="str" cm="1">
        <f t="array" ref="C334">_xlfn.IFS(S334 = Modules!$A$2,Modules!$B$2,S334 = Modules!$A$3,Modules!$B$3,S334 = Modules!$A$4,Modules!$B$4,S334 = Modules!$A$5,Modules!$B$5,S334 = Modules!$A$6,Modules!$B$6,S334 = Modules!$A$7,Modules!$B$7,S334 = Modules!$A$8,Modules!$B$8,S334 = Modules!$A$9,Modules!$B$9,S334 = Modules!$A$10,Modules!$B$10,S334 = Modules!$A$11,Modules!$B$11,S334 = Modules!$A$12,Modules!$B$12, S334 = Modules!$A$13,Modules!$B$13)</f>
        <v>care</v>
      </c>
      <c r="E334" s="10"/>
      <c r="F334" s="10"/>
      <c r="G334" s="10" t="s">
        <v>1061</v>
      </c>
      <c r="H334" s="10" t="s">
        <v>981</v>
      </c>
      <c r="I334" s="10" t="s">
        <v>1063</v>
      </c>
      <c r="J334" s="10" t="str">
        <f t="shared" si="10"/>
        <v>careProvidedFlagL1</v>
      </c>
      <c r="K334" s="2" t="s">
        <v>737</v>
      </c>
      <c r="L334" s="2" t="s">
        <v>334</v>
      </c>
      <c r="M334" s="10" t="str">
        <f t="shared" si="11"/>
        <v>No</v>
      </c>
      <c r="S334" s="2" t="s">
        <v>971</v>
      </c>
    </row>
    <row r="335" spans="1:21" ht="13.5" customHeight="1" x14ac:dyDescent="0.2">
      <c r="A335" s="2" t="s">
        <v>341</v>
      </c>
      <c r="C335" s="10" t="str" cm="1">
        <f t="array" ref="C335">_xlfn.IFS(S335 = Modules!$A$2,Modules!$B$2,S335 = Modules!$A$3,Modules!$B$3,S335 = Modules!$A$4,Modules!$B$4,S335 = Modules!$A$5,Modules!$B$5,S335 = Modules!$A$6,Modules!$B$6,S335 = Modules!$A$7,Modules!$B$7,S335 = Modules!$A$8,Modules!$B$8,S335 = Modules!$A$9,Modules!$B$9,S335 = Modules!$A$10,Modules!$B$10,S335 = Modules!$A$11,Modules!$B$11,S335 = Modules!$A$12,Modules!$B$12, S335 = Modules!$A$13,Modules!$B$13)</f>
        <v>care</v>
      </c>
      <c r="E335" s="10"/>
      <c r="F335" s="10"/>
      <c r="G335" s="10" t="s">
        <v>1145</v>
      </c>
      <c r="H335" s="10" t="s">
        <v>981</v>
      </c>
      <c r="I335" s="10"/>
      <c r="J335" s="10" t="str">
        <f t="shared" si="10"/>
        <v>careReceivedFlag</v>
      </c>
      <c r="K335" s="2" t="s">
        <v>864</v>
      </c>
      <c r="L335" s="2" t="s">
        <v>334</v>
      </c>
      <c r="M335" s="10" t="str">
        <f t="shared" si="11"/>
        <v>No</v>
      </c>
      <c r="S335" s="2" t="s">
        <v>971</v>
      </c>
    </row>
    <row r="336" spans="1:21" ht="13.5" customHeight="1" x14ac:dyDescent="0.2">
      <c r="A336" s="10" t="s">
        <v>151</v>
      </c>
      <c r="B336" s="10"/>
      <c r="C336" s="10" t="str" cm="1">
        <f t="array" ref="C336">_xlfn.IFS(S336 = Modules!$A$2,Modules!$B$2,S336 = Modules!$A$3,Modules!$B$3,S336 = Modules!$A$4,Modules!$B$4,S336 = Modules!$A$5,Modules!$B$5,S336 = Modules!$A$6,Modules!$B$6,S336 = Modules!$A$7,Modules!$B$7,S336 = Modules!$A$8,Modules!$B$8,S336 = Modules!$A$9,Modules!$B$9,S336 = Modules!$A$10,Modules!$B$10,S336 = Modules!$A$11,Modules!$B$11,S336 = Modules!$A$12,Modules!$B$12, S336 = Modules!$A$13,Modules!$B$13)</f>
        <v>care</v>
      </c>
      <c r="D336" s="2" t="s">
        <v>1060</v>
      </c>
      <c r="E336" s="10"/>
      <c r="F336" s="10"/>
      <c r="G336" s="10" t="s">
        <v>1077</v>
      </c>
      <c r="H336" s="10"/>
      <c r="I336" s="10"/>
      <c r="J336" s="10" t="str">
        <f t="shared" si="10"/>
        <v>careHrsFromSon</v>
      </c>
      <c r="K336" s="6" t="s">
        <v>685</v>
      </c>
      <c r="L336" s="8" t="s">
        <v>334</v>
      </c>
      <c r="M336" s="10" t="str">
        <f t="shared" si="11"/>
        <v>Yes</v>
      </c>
      <c r="N336" s="2" t="s">
        <v>681</v>
      </c>
      <c r="O336" s="2" t="s">
        <v>679</v>
      </c>
      <c r="S336" s="2" t="s">
        <v>971</v>
      </c>
    </row>
    <row r="337" spans="1:21" ht="13.5" customHeight="1" x14ac:dyDescent="0.2">
      <c r="A337" s="2" t="s">
        <v>50</v>
      </c>
      <c r="C337" s="10" t="str" cm="1">
        <f t="array" ref="C337">_xlfn.IFS(S337 = Modules!$A$2,Modules!$B$2,S337 = Modules!$A$3,Modules!$B$3,S337 = Modules!$A$4,Modules!$B$4,S337 = Modules!$A$5,Modules!$B$5,S337 = Modules!$A$6,Modules!$B$6,S337 = Modules!$A$7,Modules!$B$7,S337 = Modules!$A$8,Modules!$B$8,S337 = Modules!$A$9,Modules!$B$9,S337 = Modules!$A$10,Modules!$B$10,S337 = Modules!$A$11,Modules!$B$11,S337 = Modules!$A$12,Modules!$B$12, S337 = Modules!$A$13,Modules!$B$13)</f>
        <v>dem</v>
      </c>
      <c r="D337" s="2" t="s">
        <v>1152</v>
      </c>
      <c r="E337" s="10"/>
      <c r="F337" s="10"/>
      <c r="G337" s="10"/>
      <c r="H337" s="10" t="s">
        <v>981</v>
      </c>
      <c r="I337" s="10"/>
      <c r="J337" s="10" t="str">
        <f t="shared" si="10"/>
        <v>demFertFlag</v>
      </c>
      <c r="K337" s="2" t="s">
        <v>930</v>
      </c>
      <c r="L337" s="2" t="s">
        <v>170</v>
      </c>
      <c r="M337" s="10" t="str">
        <f t="shared" si="11"/>
        <v>Yes</v>
      </c>
      <c r="N337" s="2" t="s">
        <v>651</v>
      </c>
      <c r="O337" s="2" t="s">
        <v>521</v>
      </c>
      <c r="P337" s="6" t="s">
        <v>1292</v>
      </c>
      <c r="Q337" s="6" t="s">
        <v>1253</v>
      </c>
      <c r="S337" s="2" t="s">
        <v>975</v>
      </c>
      <c r="U337" s="2" t="s">
        <v>80</v>
      </c>
    </row>
    <row r="338" spans="1:21" ht="13.5" customHeight="1" x14ac:dyDescent="0.2">
      <c r="A338" s="2" t="s">
        <v>39</v>
      </c>
      <c r="C338" s="10" t="str" cm="1">
        <f t="array" ref="C338">_xlfn.IFS(S338 = Modules!$A$2,Modules!$B$2,S338 = Modules!$A$3,Modules!$B$3,S338 = Modules!$A$4,Modules!$B$4,S338 = Modules!$A$5,Modules!$B$5,S338 = Modules!$A$6,Modules!$B$6,S338 = Modules!$A$7,Modules!$B$7,S338 = Modules!$A$8,Modules!$B$8,S338 = Modules!$A$9,Modules!$B$9,S338 = Modules!$A$10,Modules!$B$10,S338 = Modules!$A$11,Modules!$B$11,S338 = Modules!$A$12,Modules!$B$12, S338 = Modules!$A$13,Modules!$B$13)</f>
        <v>dem</v>
      </c>
      <c r="E338" s="10" t="s">
        <v>1087</v>
      </c>
      <c r="F338" s="10"/>
      <c r="G338" s="10" t="s">
        <v>1214</v>
      </c>
      <c r="H338" s="10" t="s">
        <v>981</v>
      </c>
      <c r="I338" s="10"/>
      <c r="J338" s="10" t="str">
        <f t="shared" si="10"/>
        <v>demPartnerSameSexFlag</v>
      </c>
      <c r="K338" s="2" t="s">
        <v>929</v>
      </c>
      <c r="L338" s="2" t="s">
        <v>170</v>
      </c>
      <c r="M338" s="10" t="str">
        <f t="shared" si="11"/>
        <v>Yes</v>
      </c>
      <c r="N338" s="2" t="s">
        <v>650</v>
      </c>
      <c r="O338" s="2" t="s">
        <v>521</v>
      </c>
      <c r="P338" s="2" t="s">
        <v>1291</v>
      </c>
      <c r="Q338" s="6" t="s">
        <v>1253</v>
      </c>
      <c r="S338" s="2" t="s">
        <v>975</v>
      </c>
      <c r="U338" s="2" t="s">
        <v>40</v>
      </c>
    </row>
    <row r="339" spans="1:21" ht="13.5" customHeight="1" x14ac:dyDescent="0.2">
      <c r="A339" s="2" t="s">
        <v>429</v>
      </c>
      <c r="C339" s="10" t="str" cm="1">
        <f t="array" ref="C339">_xlfn.IFS(S339 = Modules!$A$2,Modules!$B$2,S339 = Modules!$A$3,Modules!$B$3,S339 = Modules!$A$4,Modules!$B$4,S339 = Modules!$A$5,Modules!$B$5,S339 = Modules!$A$6,Modules!$B$6,S339 = Modules!$A$7,Modules!$B$7,S339 = Modules!$A$8,Modules!$B$8,S339 = Modules!$A$9,Modules!$B$9,S339 = Modules!$A$10,Modules!$B$10,S339 = Modules!$A$11,Modules!$B$11,S339 = Modules!$A$12,Modules!$B$12, S339 = Modules!$A$13,Modules!$B$13)</f>
        <v>lab</v>
      </c>
      <c r="D339" s="2" t="s">
        <v>1436</v>
      </c>
      <c r="E339" s="10"/>
      <c r="F339" s="10"/>
      <c r="G339" s="10" t="s">
        <v>1437</v>
      </c>
      <c r="H339" s="10"/>
      <c r="I339" s="10"/>
      <c r="J339" s="10" t="str">
        <f t="shared" si="10"/>
        <v>labStatesContObject</v>
      </c>
      <c r="K339" s="2" t="s">
        <v>1439</v>
      </c>
      <c r="L339" s="2" t="s">
        <v>451</v>
      </c>
      <c r="M339" s="10" t="str">
        <f t="shared" si="11"/>
        <v>No</v>
      </c>
      <c r="S339" s="2" t="s">
        <v>475</v>
      </c>
    </row>
    <row r="340" spans="1:21" ht="13.5" customHeight="1" x14ac:dyDescent="0.2">
      <c r="A340" s="2" t="s">
        <v>41</v>
      </c>
      <c r="C340" s="10" t="str" cm="1">
        <f t="array" ref="C340">_xlfn.IFS(S340 = Modules!$A$2,Modules!$B$2,S340 = Modules!$A$3,Modules!$B$3,S340 = Modules!$A$4,Modules!$B$4,S340 = Modules!$A$5,Modules!$B$5,S340 = Modules!$A$6,Modules!$B$6,S340 = Modules!$A$7,Modules!$B$7,S340 = Modules!$A$8,Modules!$B$8,S340 = Modules!$A$9,Modules!$B$9,S340 = Modules!$A$10,Modules!$B$10,S340 = Modules!$A$11,Modules!$B$11,S340 = Modules!$A$12,Modules!$B$12, S340 = Modules!$A$13,Modules!$B$13)</f>
        <v>stat</v>
      </c>
      <c r="D340" s="2" t="s">
        <v>1412</v>
      </c>
      <c r="I340" s="2" t="s">
        <v>706</v>
      </c>
      <c r="J340" s="10" t="str">
        <f t="shared" si="10"/>
        <v>statInterviewYear</v>
      </c>
      <c r="K340" s="2" t="s">
        <v>654</v>
      </c>
      <c r="L340" s="2" t="s">
        <v>170</v>
      </c>
      <c r="M340" s="10" t="str">
        <f t="shared" si="11"/>
        <v>Yes</v>
      </c>
      <c r="N340" s="2" t="s">
        <v>653</v>
      </c>
      <c r="O340" s="2" t="s">
        <v>521</v>
      </c>
      <c r="P340" s="2" t="s">
        <v>1254</v>
      </c>
      <c r="Q340" s="2" t="s">
        <v>1253</v>
      </c>
      <c r="S340" s="2" t="s">
        <v>973</v>
      </c>
    </row>
    <row r="341" spans="1:21" ht="13.5" customHeight="1" x14ac:dyDescent="0.2">
      <c r="A341" s="2" t="s">
        <v>1328</v>
      </c>
      <c r="C341" s="2" t="str" cm="1">
        <f t="array" ref="C341">_xlfn.IFS(S341 = Modules!$A$2,Modules!$B$2,S341 = Modules!$A$3,Modules!$B$3,S341 = Modules!$A$4,Modules!$B$4,S341 = Modules!$A$5,Modules!$B$5,S341 = Modules!$A$6,Modules!$B$6,S341 = Modules!$A$7,Modules!$B$7,S341 = Modules!$A$8,Modules!$B$8,S341 = Modules!$A$9,Modules!$B$9,S341 = Modules!$A$10,Modules!$B$10,S341 = Modules!$A$11,Modules!$B$11,S341 = Modules!$A$12,Modules!$B$12, S341 = Modules!$A$13,Modules!$B$13)</f>
        <v>lab</v>
      </c>
      <c r="D341" s="2" t="s">
        <v>1326</v>
      </c>
      <c r="H341" s="2" t="s">
        <v>981</v>
      </c>
      <c r="J341" s="2" t="str">
        <f t="shared" si="10"/>
        <v>labStudentFlag</v>
      </c>
      <c r="K341" s="2" t="s">
        <v>1337</v>
      </c>
      <c r="M341" s="10" t="str">
        <f t="shared" si="11"/>
        <v>Yes</v>
      </c>
      <c r="P341" s="2" t="s">
        <v>1290</v>
      </c>
      <c r="Q341" s="6" t="s">
        <v>1253</v>
      </c>
      <c r="S341" s="2" t="s">
        <v>475</v>
      </c>
    </row>
    <row r="342" spans="1:21" ht="13.5" customHeight="1" x14ac:dyDescent="0.2">
      <c r="A342" s="2" t="s">
        <v>37</v>
      </c>
      <c r="C342" s="10" t="str" cm="1">
        <f t="array" ref="C342">_xlfn.IFS(S342 = Modules!$A$2,Modules!$B$2,S342 = Modules!$A$3,Modules!$B$3,S342 = Modules!$A$4,Modules!$B$4,S342 = Modules!$A$5,Modules!$B$5,S342 = Modules!$A$6,Modules!$B$6,S342 = Modules!$A$7,Modules!$B$7,S342 = Modules!$A$8,Modules!$B$8,S342 = Modules!$A$9,Modules!$B$9,S342 = Modules!$A$10,Modules!$B$10,S342 = Modules!$A$11,Modules!$B$11,S342 = Modules!$A$12,Modules!$B$12, S342 = Modules!$A$13,Modules!$B$13)</f>
        <v>stat</v>
      </c>
      <c r="D342" s="2" t="s">
        <v>1413</v>
      </c>
      <c r="J342" s="10" t="str">
        <f t="shared" si="10"/>
        <v>statCollectionWave</v>
      </c>
      <c r="K342" s="2" t="s">
        <v>481</v>
      </c>
      <c r="L342" s="2" t="s">
        <v>170</v>
      </c>
      <c r="M342" s="10" t="str">
        <f t="shared" si="11"/>
        <v>Yes</v>
      </c>
      <c r="N342" s="2" t="s">
        <v>648</v>
      </c>
      <c r="O342" s="2" t="s">
        <v>521</v>
      </c>
      <c r="P342" s="2" t="s">
        <v>577</v>
      </c>
      <c r="Q342" s="2" t="s">
        <v>1253</v>
      </c>
      <c r="S342" s="2" t="s">
        <v>973</v>
      </c>
    </row>
    <row r="343" spans="1:21" ht="13.5" customHeight="1" x14ac:dyDescent="0.2">
      <c r="A343" s="2" t="s">
        <v>192</v>
      </c>
      <c r="C343" s="10" t="str" cm="1">
        <f t="array" ref="C343">_xlfn.IFS(S343 = Modules!$A$2,Modules!$B$2,S343 = Modules!$A$3,Modules!$B$3,S343 = Modules!$A$4,Modules!$B$4,S343 = Modules!$A$5,Modules!$B$5,S343 = Modules!$A$6,Modules!$B$6,S343 = Modules!$A$7,Modules!$B$7,S343 = Modules!$A$8,Modules!$B$8,S343 = Modules!$A$9,Modules!$B$9,S343 = Modules!$A$10,Modules!$B$10,S343 = Modules!$A$11,Modules!$B$11,S343 = Modules!$A$12,Modules!$B$12, S343 = Modules!$A$13,Modules!$B$13)</f>
        <v>id</v>
      </c>
      <c r="D343" s="2" t="s">
        <v>1215</v>
      </c>
      <c r="G343" s="2" t="s">
        <v>1216</v>
      </c>
      <c r="J343" s="10" t="str">
        <f t="shared" si="10"/>
        <v>idtaxDbDonor</v>
      </c>
      <c r="K343" s="2" t="s">
        <v>738</v>
      </c>
      <c r="L343" s="10" t="s">
        <v>451</v>
      </c>
      <c r="M343" s="10" t="str">
        <f t="shared" si="11"/>
        <v>No</v>
      </c>
      <c r="S343" s="2" t="s">
        <v>457</v>
      </c>
    </row>
    <row r="344" spans="1:21" ht="13.5" customHeight="1" x14ac:dyDescent="0.2">
      <c r="A344" s="2" t="s">
        <v>442</v>
      </c>
      <c r="C344" s="10" t="str" cm="1">
        <f t="array" ref="C344">_xlfn.IFS(S344 = Modules!$A$2,Modules!$B$2,S344 = Modules!$A$3,Modules!$B$3,S344 = Modules!$A$4,Modules!$B$4,S344 = Modules!$A$5,Modules!$B$5,S344 = Modules!$A$6,Modules!$B$6,S344 = Modules!$A$7,Modules!$B$7,S344 = Modules!$A$8,Modules!$B$8,S344 = Modules!$A$9,Modules!$B$9,S344 = Modules!$A$10,Modules!$B$10,S344 = Modules!$A$11,Modules!$B$11,S344 = Modules!$A$12,Modules!$B$12, S344 = Modules!$A$13,Modules!$B$13)</f>
        <v>dem</v>
      </c>
      <c r="D344" s="2" t="s">
        <v>1440</v>
      </c>
      <c r="F344" s="2" t="s">
        <v>1441</v>
      </c>
      <c r="G344" s="2" t="s">
        <v>1442</v>
      </c>
      <c r="J344" s="10" t="str">
        <f t="shared" si="10"/>
        <v>demDbMatchTax</v>
      </c>
      <c r="K344" s="2" t="s">
        <v>1438</v>
      </c>
      <c r="L344" s="2" t="s">
        <v>451</v>
      </c>
      <c r="M344" s="10" t="str">
        <f t="shared" si="11"/>
        <v>No</v>
      </c>
      <c r="S344" s="2" t="s">
        <v>975</v>
      </c>
    </row>
    <row r="345" spans="1:21" ht="13.5" customHeight="1" x14ac:dyDescent="0.2">
      <c r="A345" s="2" t="s">
        <v>172</v>
      </c>
      <c r="C345" s="10" t="str" cm="1">
        <f t="array" ref="C345">_xlfn.IFS(S345 = Modules!$A$2,Modules!$B$2,S345 = Modules!$A$3,Modules!$B$3,S345 = Modules!$A$4,Modules!$B$4,S345 = Modules!$A$5,Modules!$B$5,S345 = Modules!$A$6,Modules!$B$6,S345 = Modules!$A$7,Modules!$B$7,S345 = Modules!$A$8,Modules!$B$8,S345 = Modules!$A$9,Modules!$B$9,S345 = Modules!$A$10,Modules!$B$10,S345 = Modules!$A$11,Modules!$B$11,S345 = Modules!$A$12,Modules!$B$12, S345 = Modules!$A$13,Modules!$B$13)</f>
        <v>dem</v>
      </c>
      <c r="D345" s="2" t="s">
        <v>706</v>
      </c>
      <c r="J345" s="10" t="str">
        <f t="shared" si="10"/>
        <v>demYear</v>
      </c>
      <c r="K345" s="2" t="s">
        <v>706</v>
      </c>
      <c r="L345" s="10"/>
      <c r="M345" s="10" t="str">
        <f t="shared" si="11"/>
        <v>No</v>
      </c>
      <c r="R345" s="4" t="s">
        <v>707</v>
      </c>
      <c r="S345" s="2" t="s">
        <v>975</v>
      </c>
    </row>
    <row r="346" spans="1:21" ht="120" customHeight="1" x14ac:dyDescent="0.2">
      <c r="A346" s="2" t="s">
        <v>444</v>
      </c>
      <c r="B346" s="2" t="s">
        <v>1235</v>
      </c>
      <c r="C346" s="10" t="str" cm="1">
        <f t="array" ref="C346">_xlfn.IFS(S346 = Modules!$A$2,Modules!$B$2,S346 = Modules!$A$3,Modules!$B$3,S346 = Modules!$A$4,Modules!$B$4,S346 = Modules!$A$5,Modules!$B$5,S346 = Modules!$A$6,Modules!$B$6,S346 = Modules!$A$7,Modules!$B$7,S346 = Modules!$A$8,Modules!$B$8,S346 = Modules!$A$9,Modules!$B$9,S346 = Modules!$A$10,Modules!$B$10,S346 = Modules!$A$11,Modules!$B$11,S346 = Modules!$A$12,Modules!$B$12, S346 = Modules!$A$13,Modules!$B$13)</f>
        <v>y</v>
      </c>
      <c r="D346" s="2" t="s">
        <v>1230</v>
      </c>
      <c r="E346" s="2" t="s">
        <v>1116</v>
      </c>
      <c r="F346" s="2" t="s">
        <v>580</v>
      </c>
      <c r="G346" s="2" t="s">
        <v>1431</v>
      </c>
      <c r="J346" s="10" t="str">
        <f t="shared" si="10"/>
        <v>i_yNonBenHhGrossAsinh</v>
      </c>
      <c r="K346" s="2" t="s">
        <v>1432</v>
      </c>
      <c r="L346" s="2" t="s">
        <v>451</v>
      </c>
      <c r="M346" s="10" t="str">
        <f t="shared" si="11"/>
        <v>No</v>
      </c>
      <c r="S346" s="2" t="s">
        <v>480</v>
      </c>
    </row>
    <row r="347" spans="1:21" ht="13.5" customHeight="1" x14ac:dyDescent="0.2">
      <c r="A347" s="2" t="s">
        <v>368</v>
      </c>
      <c r="C347" s="10" t="str" cm="1">
        <f t="array" ref="C347">_xlfn.IFS(S347 = Modules!$A$2,Modules!$B$2,S347 = Modules!$A$3,Modules!$B$3,S347 = Modules!$A$4,Modules!$B$4,S347 = Modules!$A$5,Modules!$B$5,S347 = Modules!$A$6,Modules!$B$6,S347 = Modules!$A$7,Modules!$B$7,S347 = Modules!$A$8,Modules!$B$8,S347 = Modules!$A$9,Modules!$B$9,S347 = Modules!$A$10,Modules!$B$10,S347 = Modules!$A$11,Modules!$B$11,S347 = Modules!$A$12,Modules!$B$12, S347 = Modules!$A$13,Modules!$B$13)</f>
        <v>dem</v>
      </c>
      <c r="D347" s="2" t="s">
        <v>1219</v>
      </c>
      <c r="H347" s="2" t="s">
        <v>981</v>
      </c>
      <c r="J347" s="10" t="str">
        <f t="shared" si="10"/>
        <v>demBePartnerFlag</v>
      </c>
      <c r="K347" s="2" t="s">
        <v>1407</v>
      </c>
      <c r="L347" s="2" t="s">
        <v>334</v>
      </c>
      <c r="M347" s="10" t="str">
        <f t="shared" si="11"/>
        <v>No</v>
      </c>
      <c r="S347" s="2" t="s">
        <v>975</v>
      </c>
    </row>
    <row r="348" spans="1:21" ht="13.5" customHeight="1" x14ac:dyDescent="0.2">
      <c r="A348" s="2" t="s">
        <v>366</v>
      </c>
      <c r="C348" s="10" t="str" cm="1">
        <f t="array" ref="C348">_xlfn.IFS(S348 = Modules!$A$2,Modules!$B$2,S348 = Modules!$A$3,Modules!$B$3,S348 = Modules!$A$4,Modules!$B$4,S348 = Modules!$A$5,Modules!$B$5,S348 = Modules!$A$6,Modules!$B$6,S348 = Modules!$A$7,Modules!$B$7,S348 = Modules!$A$8,Modules!$B$8,S348 = Modules!$A$9,Modules!$B$9,S348 = Modules!$A$10,Modules!$B$10,S348 = Modules!$A$11,Modules!$B$11,S348 = Modules!$A$12,Modules!$B$12, S348 = Modules!$A$13,Modules!$B$13)</f>
        <v>dem</v>
      </c>
      <c r="D348" s="2" t="s">
        <v>1217</v>
      </c>
      <c r="H348" s="2" t="s">
        <v>981</v>
      </c>
      <c r="J348" s="10" t="str">
        <f t="shared" si="10"/>
        <v>demGiveBirthFlag</v>
      </c>
      <c r="K348" s="2" t="s">
        <v>1408</v>
      </c>
      <c r="L348" s="2" t="s">
        <v>334</v>
      </c>
      <c r="M348" s="10" t="str">
        <f t="shared" si="11"/>
        <v>No</v>
      </c>
      <c r="S348" s="2" t="s">
        <v>975</v>
      </c>
    </row>
    <row r="349" spans="1:21" ht="13.5" customHeight="1" x14ac:dyDescent="0.2">
      <c r="A349" s="2" t="s">
        <v>367</v>
      </c>
      <c r="C349" s="10" t="str" cm="1">
        <f t="array" ref="C349">_xlfn.IFS(S349 = Modules!$A$2,Modules!$B$2,S349 = Modules!$A$3,Modules!$B$3,S349 = Modules!$A$4,Modules!$B$4,S349 = Modules!$A$5,Modules!$B$5,S349 = Modules!$A$6,Modules!$B$6,S349 = Modules!$A$7,Modules!$B$7,S349 = Modules!$A$8,Modules!$B$8,S349 = Modules!$A$9,Modules!$B$9,S349 = Modules!$A$10,Modules!$B$10,S349 = Modules!$A$11,Modules!$B$11,S349 = Modules!$A$12,Modules!$B$12, S349 = Modules!$A$13,Modules!$B$13)</f>
        <v>edu</v>
      </c>
      <c r="D349" s="2" t="s">
        <v>1218</v>
      </c>
      <c r="H349" s="2" t="s">
        <v>981</v>
      </c>
      <c r="J349" s="10" t="str">
        <f t="shared" si="10"/>
        <v>eduLeaveSchoolFlag</v>
      </c>
      <c r="K349" s="2" t="s">
        <v>1409</v>
      </c>
      <c r="L349" s="2" t="s">
        <v>334</v>
      </c>
      <c r="M349" s="10" t="str">
        <f t="shared" si="11"/>
        <v>No</v>
      </c>
      <c r="S349" s="2" t="s">
        <v>544</v>
      </c>
    </row>
    <row r="350" spans="1:21" ht="13.5" customHeight="1" x14ac:dyDescent="0.2">
      <c r="A350" s="2" t="s">
        <v>1444</v>
      </c>
      <c r="C350" s="10" t="str" cm="1">
        <f t="array" ref="C350">_xlfn.IFS(S350 = Modules!$A$2,Modules!$B$2,S350 = Modules!$A$3,Modules!$B$3,S350 = Modules!$A$4,Modules!$B$4,S350 = Modules!$A$5,Modules!$B$5,S350 = Modules!$A$6,Modules!$B$6,S350 = Modules!$A$7,Modules!$B$7,S350 = Modules!$A$8,Modules!$B$8,S350 = Modules!$A$9,Modules!$B$9,S350 = Modules!$A$10,Modules!$B$10,S350 = Modules!$A$11,Modules!$B$11,S350 = Modules!$A$12,Modules!$B$12, S350 = Modules!$A$13,Modules!$B$13)</f>
        <v>wealth</v>
      </c>
      <c r="D350" s="2" t="s">
        <v>1206</v>
      </c>
      <c r="F350" s="2" t="s">
        <v>1175</v>
      </c>
      <c r="J350" s="10" t="str">
        <f t="shared" si="10"/>
        <v>wealthPensValue</v>
      </c>
      <c r="K350" s="2" t="s">
        <v>1446</v>
      </c>
      <c r="L350" s="8" t="s">
        <v>451</v>
      </c>
      <c r="M350" s="10" t="str">
        <f t="shared" si="11"/>
        <v>Yes</v>
      </c>
      <c r="N350" s="2" t="s">
        <v>1445</v>
      </c>
      <c r="O350" s="2" t="s">
        <v>642</v>
      </c>
      <c r="S350" s="2" t="s">
        <v>478</v>
      </c>
    </row>
    <row r="351" spans="1:21" ht="13.5" customHeight="1" x14ac:dyDescent="0.2">
      <c r="A351" s="2" t="s">
        <v>1448</v>
      </c>
      <c r="C351" s="10" t="str" cm="1">
        <f t="array" ref="C351">_xlfn.IFS(S351 = Modules!$A$2,Modules!$B$2,S351 = Modules!$A$3,Modules!$B$3,S351 = Modules!$A$4,Modules!$B$4,S351 = Modules!$A$5,Modules!$B$5,S351 = Modules!$A$6,Modules!$B$6,S351 = Modules!$A$7,Modules!$B$7,S351 = Modules!$A$8,Modules!$B$8,S351 = Modules!$A$9,Modules!$B$9,S351 = Modules!$A$10,Modules!$B$10,S351 = Modules!$A$11,Modules!$B$11,S351 = Modules!$A$12,Modules!$B$12, S351 = Modules!$A$13,Modules!$B$13)</f>
        <v>wealth</v>
      </c>
      <c r="D351" s="2" t="s">
        <v>1449</v>
      </c>
      <c r="F351" s="2" t="s">
        <v>1175</v>
      </c>
      <c r="J351" s="10" t="str">
        <f t="shared" si="10"/>
        <v>wealthTotValue</v>
      </c>
      <c r="K351" s="2" t="s">
        <v>1450</v>
      </c>
      <c r="L351" s="2" t="s">
        <v>451</v>
      </c>
      <c r="M351" s="10" t="str">
        <f t="shared" si="11"/>
        <v>Yes</v>
      </c>
      <c r="N351" s="2" t="s">
        <v>641</v>
      </c>
      <c r="O351" s="2" t="s">
        <v>642</v>
      </c>
      <c r="Q351" s="6" t="s">
        <v>1253</v>
      </c>
      <c r="S351" s="2" t="s">
        <v>478</v>
      </c>
    </row>
    <row r="352" spans="1:21" ht="13.5" customHeight="1" x14ac:dyDescent="0.2">
      <c r="A352" s="10" t="s">
        <v>168</v>
      </c>
      <c r="B352" s="10"/>
      <c r="C352" s="10" t="str" cm="1">
        <f t="array" ref="C352">_xlfn.IFS(S352 = Modules!$A$2,Modules!$B$2,S352 = Modules!$A$3,Modules!$B$3,S352 = Modules!$A$4,Modules!$B$4,S352 = Modules!$A$5,Modules!$B$5,S352 = Modules!$A$6,Modules!$B$6,S352 = Modules!$A$7,Modules!$B$7,S352 = Modules!$A$8,Modules!$B$8,S352 = Modules!$A$9,Modules!$B$9,S352 = Modules!$A$10,Modules!$B$10,S352 = Modules!$A$11,Modules!$B$11,S352 = Modules!$A$12,Modules!$B$12, S352 = Modules!$A$13,Modules!$B$13)</f>
        <v>lab</v>
      </c>
      <c r="D352" s="2" t="s">
        <v>1210</v>
      </c>
      <c r="E352" s="10"/>
      <c r="F352" s="10"/>
      <c r="G352" s="10"/>
      <c r="H352" s="10" t="s">
        <v>981</v>
      </c>
      <c r="I352" s="10"/>
      <c r="J352" s="10" t="str">
        <f t="shared" si="10"/>
        <v>labUnempFlag</v>
      </c>
      <c r="K352" s="2" t="s">
        <v>701</v>
      </c>
      <c r="L352" s="10" t="s">
        <v>170</v>
      </c>
      <c r="M352" s="10" t="str">
        <f t="shared" si="11"/>
        <v>Yes</v>
      </c>
      <c r="N352" s="2" t="s">
        <v>24</v>
      </c>
      <c r="O352" s="2" t="s">
        <v>521</v>
      </c>
      <c r="P352" s="2" t="s">
        <v>1273</v>
      </c>
      <c r="Q352" s="2" t="s">
        <v>1253</v>
      </c>
      <c r="S352" s="2" t="s">
        <v>475</v>
      </c>
    </row>
    <row r="353" spans="1:21" ht="13.5" customHeight="1" x14ac:dyDescent="0.2">
      <c r="A353" s="10" t="s">
        <v>328</v>
      </c>
      <c r="B353" s="10"/>
      <c r="C353" s="10" t="str" cm="1">
        <f t="array" ref="C353">_xlfn.IFS(S353 = Modules!$A$2,Modules!$B$2,S353 = Modules!$A$3,Modules!$B$3,S353 = Modules!$A$4,Modules!$B$4,S353 = Modules!$A$5,Modules!$B$5,S353 = Modules!$A$6,Modules!$B$6,S353 = Modules!$A$7,Modules!$B$7,S353 = Modules!$A$8,Modules!$B$8,S353 = Modules!$A$9,Modules!$B$9,S353 = Modules!$A$10,Modules!$B$10,S353 = Modules!$A$11,Modules!$B$11,S353 = Modules!$A$12,Modules!$B$12, S353 = Modules!$A$13,Modules!$B$13)</f>
        <v>dem</v>
      </c>
      <c r="D353" s="2" t="s">
        <v>1220</v>
      </c>
      <c r="E353" s="10"/>
      <c r="F353" s="10" t="s">
        <v>1153</v>
      </c>
      <c r="G353" s="10" t="s">
        <v>600</v>
      </c>
      <c r="H353" s="10"/>
      <c r="I353" s="10"/>
      <c r="J353" s="10" t="str">
        <f t="shared" si="10"/>
        <v>demUtilAdjCouple</v>
      </c>
      <c r="K353" s="2" t="s">
        <v>862</v>
      </c>
      <c r="L353" s="10" t="s">
        <v>1036</v>
      </c>
      <c r="M353" s="10" t="str">
        <f t="shared" si="11"/>
        <v>No</v>
      </c>
      <c r="R353" s="4" t="s">
        <v>795</v>
      </c>
      <c r="S353" s="2" t="s">
        <v>975</v>
      </c>
    </row>
    <row r="354" spans="1:21" ht="13.5" customHeight="1" x14ac:dyDescent="0.2">
      <c r="A354" s="10" t="s">
        <v>329</v>
      </c>
      <c r="B354" s="10"/>
      <c r="C354" s="10" t="str" cm="1">
        <f t="array" ref="C354">_xlfn.IFS(S354 = Modules!$A$2,Modules!$B$2,S354 = Modules!$A$3,Modules!$B$3,S354 = Modules!$A$4,Modules!$B$4,S354 = Modules!$A$5,Modules!$B$5,S354 = Modules!$A$6,Modules!$B$6,S354 = Modules!$A$7,Modules!$B$7,S354 = Modules!$A$8,Modules!$B$8,S354 = Modules!$A$9,Modules!$B$9,S354 = Modules!$A$10,Modules!$B$10,S354 = Modules!$A$11,Modules!$B$11,S354 = Modules!$A$12,Modules!$B$12, S354 = Modules!$A$13,Modules!$B$13)</f>
        <v>dem</v>
      </c>
      <c r="D354" s="2" t="s">
        <v>1220</v>
      </c>
      <c r="E354" s="10"/>
      <c r="F354" s="10" t="s">
        <v>1153</v>
      </c>
      <c r="G354" s="10" t="s">
        <v>1221</v>
      </c>
      <c r="H354" s="10"/>
      <c r="I354" s="10"/>
      <c r="J354" s="10" t="str">
        <f t="shared" si="10"/>
        <v>demUtilAdjSingleF</v>
      </c>
      <c r="K354" s="2" t="s">
        <v>961</v>
      </c>
      <c r="L354" s="10" t="s">
        <v>1036</v>
      </c>
      <c r="M354" s="10" t="str">
        <f t="shared" si="11"/>
        <v>No</v>
      </c>
      <c r="R354" s="4" t="s">
        <v>795</v>
      </c>
      <c r="S354" s="2" t="s">
        <v>975</v>
      </c>
    </row>
    <row r="355" spans="1:21" ht="13.5" customHeight="1" x14ac:dyDescent="0.2">
      <c r="A355" s="10" t="s">
        <v>330</v>
      </c>
      <c r="B355" s="10"/>
      <c r="C355" s="10" t="str" cm="1">
        <f t="array" ref="C355">_xlfn.IFS(S355 = Modules!$A$2,Modules!$B$2,S355 = Modules!$A$3,Modules!$B$3,S355 = Modules!$A$4,Modules!$B$4,S355 = Modules!$A$5,Modules!$B$5,S355 = Modules!$A$6,Modules!$B$6,S355 = Modules!$A$7,Modules!$B$7,S355 = Modules!$A$8,Modules!$B$8,S355 = Modules!$A$9,Modules!$B$9,S355 = Modules!$A$10,Modules!$B$10,S355 = Modules!$A$11,Modules!$B$11,S355 = Modules!$A$12,Modules!$B$12, S355 = Modules!$A$13,Modules!$B$13)</f>
        <v>dem</v>
      </c>
      <c r="D355" s="2" t="s">
        <v>1220</v>
      </c>
      <c r="E355" s="10"/>
      <c r="F355" s="10" t="s">
        <v>1153</v>
      </c>
      <c r="G355" s="10" t="s">
        <v>1222</v>
      </c>
      <c r="H355" s="10"/>
      <c r="I355" s="10"/>
      <c r="J355" s="10" t="str">
        <f t="shared" si="10"/>
        <v>demUtilAdjSingleM</v>
      </c>
      <c r="K355" s="6" t="s">
        <v>962</v>
      </c>
      <c r="L355" s="10" t="s">
        <v>1036</v>
      </c>
      <c r="M355" s="10" t="str">
        <f t="shared" si="11"/>
        <v>No</v>
      </c>
      <c r="R355" s="4" t="s">
        <v>795</v>
      </c>
      <c r="S355" s="2" t="s">
        <v>975</v>
      </c>
    </row>
    <row r="356" spans="1:21" ht="13.5" customHeight="1" x14ac:dyDescent="0.2">
      <c r="A356" s="2" t="s">
        <v>411</v>
      </c>
      <c r="C356" s="10" t="str" cm="1">
        <f t="array" ref="C356">_xlfn.IFS(S356 = Modules!$A$2,Modules!$B$2,S356 = Modules!$A$3,Modules!$B$3,S356 = Modules!$A$4,Modules!$B$4,S356 = Modules!$A$5,Modules!$B$5,S356 = Modules!$A$6,Modules!$B$6,S356 = Modules!$A$7,Modules!$B$7,S356 = Modules!$A$8,Modules!$B$8,S356 = Modules!$A$9,Modules!$B$9,S356 = Modules!$A$10,Modules!$B$10,S356 = Modules!$A$11,Modules!$B$11,S356 = Modules!$A$12,Modules!$B$12, S356 = Modules!$A$13,Modules!$B$13)</f>
        <v>lab</v>
      </c>
      <c r="D356" s="2" t="s">
        <v>1223</v>
      </c>
      <c r="G356" s="4" t="s">
        <v>1224</v>
      </c>
      <c r="J356" s="10" t="str">
        <f t="shared" si="10"/>
        <v>labWageRegressRandomCompoponentEmp</v>
      </c>
      <c r="K356" s="2" t="s">
        <v>881</v>
      </c>
      <c r="L356" s="2" t="s">
        <v>334</v>
      </c>
      <c r="M356" s="10" t="str">
        <f t="shared" si="11"/>
        <v>No</v>
      </c>
      <c r="S356" s="2" t="s">
        <v>475</v>
      </c>
      <c r="U356" s="2" t="s">
        <v>883</v>
      </c>
    </row>
    <row r="357" spans="1:21" ht="13.5" customHeight="1" x14ac:dyDescent="0.2">
      <c r="A357" s="2" t="s">
        <v>410</v>
      </c>
      <c r="C357" s="10" t="str" cm="1">
        <f t="array" ref="C357">_xlfn.IFS(S357 = Modules!$A$2,Modules!$B$2,S357 = Modules!$A$3,Modules!$B$3,S357 = Modules!$A$4,Modules!$B$4,S357 = Modules!$A$5,Modules!$B$5,S357 = Modules!$A$6,Modules!$B$6,S357 = Modules!$A$7,Modules!$B$7,S357 = Modules!$A$8,Modules!$B$8,S357 = Modules!$A$9,Modules!$B$9,S357 = Modules!$A$10,Modules!$B$10,S357 = Modules!$A$11,Modules!$B$11,S357 = Modules!$A$12,Modules!$B$12, S357 = Modules!$A$13,Modules!$B$13)</f>
        <v>lab</v>
      </c>
      <c r="D357" s="2" t="s">
        <v>1223</v>
      </c>
      <c r="G357" s="4" t="s">
        <v>1225</v>
      </c>
      <c r="J357" s="10" t="str">
        <f t="shared" si="10"/>
        <v>labWageRegressRandomCompoponentNotEmp</v>
      </c>
      <c r="K357" s="2" t="s">
        <v>882</v>
      </c>
      <c r="L357" s="2" t="s">
        <v>334</v>
      </c>
      <c r="M357" s="10" t="str">
        <f t="shared" si="11"/>
        <v>No</v>
      </c>
      <c r="S357" s="2" t="s">
        <v>475</v>
      </c>
      <c r="U357" s="2" t="s">
        <v>883</v>
      </c>
    </row>
    <row r="358" spans="1:21" ht="16" x14ac:dyDescent="0.2">
      <c r="A358" s="10" t="s">
        <v>317</v>
      </c>
      <c r="B358" s="10"/>
      <c r="C358" s="10" t="str" cm="1">
        <f t="array" ref="C358">_xlfn.IFS(S358 = Modules!$A$2,Modules!$B$2,S358 = Modules!$A$3,Modules!$B$3,S358 = Modules!$A$4,Modules!$B$4,S358 = Modules!$A$5,Modules!$B$5,S358 = Modules!$A$6,Modules!$B$6,S358 = Modules!$A$7,Modules!$B$7,S358 = Modules!$A$8,Modules!$B$8,S358 = Modules!$A$9,Modules!$B$9,S358 = Modules!$A$10,Modules!$B$10,S358 = Modules!$A$11,Modules!$B$11,S358 = Modules!$A$12,Modules!$B$12, S358 = Modules!$A$13,Modules!$B$13)</f>
        <v>wealth</v>
      </c>
      <c r="D358" s="10"/>
      <c r="E358" s="10"/>
      <c r="F358" s="10"/>
      <c r="G358" s="2" t="s">
        <v>1050</v>
      </c>
      <c r="H358" s="10" t="s">
        <v>1057</v>
      </c>
      <c r="I358" s="10"/>
      <c r="J358" s="10" t="str">
        <f t="shared" si="10"/>
        <v>wealth18to29Avg</v>
      </c>
      <c r="K358" s="6" t="s">
        <v>852</v>
      </c>
      <c r="L358" s="10" t="s">
        <v>1032</v>
      </c>
      <c r="M358" s="10" t="str">
        <f t="shared" si="11"/>
        <v>No</v>
      </c>
      <c r="R358" s="4" t="s">
        <v>794</v>
      </c>
      <c r="S358" s="2" t="s">
        <v>478</v>
      </c>
    </row>
    <row r="359" spans="1:21" ht="13.5" customHeight="1" x14ac:dyDescent="0.2">
      <c r="A359" s="10" t="s">
        <v>318</v>
      </c>
      <c r="B359" s="10"/>
      <c r="C359" s="10" t="str" cm="1">
        <f t="array" ref="C359">_xlfn.IFS(S359 = Modules!$A$2,Modules!$B$2,S359 = Modules!$A$3,Modules!$B$3,S359 = Modules!$A$4,Modules!$B$4,S359 = Modules!$A$5,Modules!$B$5,S359 = Modules!$A$6,Modules!$B$6,S359 = Modules!$A$7,Modules!$B$7,S359 = Modules!$A$8,Modules!$B$8,S359 = Modules!$A$9,Modules!$B$9,S359 = Modules!$A$10,Modules!$B$10,S359 = Modules!$A$11,Modules!$B$11,S359 = Modules!$A$12,Modules!$B$12, S359 = Modules!$A$13,Modules!$B$13)</f>
        <v>wealth</v>
      </c>
      <c r="D359" s="10"/>
      <c r="E359" s="10"/>
      <c r="F359" s="10"/>
      <c r="G359" s="2" t="s">
        <v>1051</v>
      </c>
      <c r="H359" s="10" t="s">
        <v>1057</v>
      </c>
      <c r="I359" s="10"/>
      <c r="J359" s="10" t="str">
        <f t="shared" si="10"/>
        <v>wealth30to54Avg</v>
      </c>
      <c r="K359" s="6" t="s">
        <v>853</v>
      </c>
      <c r="L359" s="10" t="s">
        <v>1032</v>
      </c>
      <c r="M359" s="10" t="str">
        <f t="shared" si="11"/>
        <v>No</v>
      </c>
      <c r="R359" s="4" t="s">
        <v>794</v>
      </c>
      <c r="S359" s="2" t="s">
        <v>478</v>
      </c>
    </row>
    <row r="360" spans="1:21" ht="13.5" customHeight="1" x14ac:dyDescent="0.2">
      <c r="A360" s="10" t="s">
        <v>319</v>
      </c>
      <c r="B360" s="10"/>
      <c r="C360" s="10" t="str" cm="1">
        <f t="array" ref="C360">_xlfn.IFS(S360 = Modules!$A$2,Modules!$B$2,S360 = Modules!$A$3,Modules!$B$3,S360 = Modules!$A$4,Modules!$B$4,S360 = Modules!$A$5,Modules!$B$5,S360 = Modules!$A$6,Modules!$B$6,S360 = Modules!$A$7,Modules!$B$7,S360 = Modules!$A$8,Modules!$B$8,S360 = Modules!$A$9,Modules!$B$9,S360 = Modules!$A$10,Modules!$B$10,S360 = Modules!$A$11,Modules!$B$11,S360 = Modules!$A$12,Modules!$B$12, S360 = Modules!$A$13,Modules!$B$13)</f>
        <v>wealth</v>
      </c>
      <c r="D360" s="10"/>
      <c r="E360" s="10"/>
      <c r="F360" s="10"/>
      <c r="G360" s="2" t="s">
        <v>1052</v>
      </c>
      <c r="H360" s="10" t="s">
        <v>1057</v>
      </c>
      <c r="I360" s="10"/>
      <c r="J360" s="10" t="str">
        <f t="shared" si="10"/>
        <v>wealth55to74Avg</v>
      </c>
      <c r="K360" s="6" t="s">
        <v>854</v>
      </c>
      <c r="L360" s="10" t="s">
        <v>1032</v>
      </c>
      <c r="M360" s="10" t="str">
        <f t="shared" si="11"/>
        <v>No</v>
      </c>
      <c r="R360" s="4" t="s">
        <v>794</v>
      </c>
      <c r="S360" s="2" t="s">
        <v>478</v>
      </c>
    </row>
    <row r="361" spans="1:21" ht="13.5" customHeight="1" x14ac:dyDescent="0.2">
      <c r="A361" s="10" t="s">
        <v>256</v>
      </c>
      <c r="B361" s="10"/>
      <c r="C361" s="10" t="str" cm="1">
        <f t="array" ref="C361">_xlfn.IFS(S361 = Modules!$A$2,Modules!$B$2,S361 = Modules!$A$3,Modules!$B$3,S361 = Modules!$A$4,Modules!$B$4,S361 = Modules!$A$5,Modules!$B$5,S361 = Modules!$A$6,Modules!$B$6,S361 = Modules!$A$7,Modules!$B$7,S361 = Modules!$A$8,Modules!$B$8,S361 = Modules!$A$9,Modules!$B$9,S361 = Modules!$A$10,Modules!$B$10,S361 = Modules!$A$11,Modules!$B$11,S361 = Modules!$A$12,Modules!$B$12, S361 = Modules!$A$13,Modules!$B$13)</f>
        <v>wgt</v>
      </c>
      <c r="D361" s="10"/>
      <c r="E361" s="10"/>
      <c r="F361" s="10"/>
      <c r="G361" s="10"/>
      <c r="H361" s="10"/>
      <c r="I361" s="10"/>
      <c r="J361" s="10" t="str">
        <f t="shared" si="10"/>
        <v>wgt</v>
      </c>
      <c r="K361" s="2" t="s">
        <v>791</v>
      </c>
      <c r="L361" s="10" t="s">
        <v>334</v>
      </c>
      <c r="M361" s="10" t="str">
        <f t="shared" si="11"/>
        <v>No</v>
      </c>
      <c r="S361" s="2" t="s">
        <v>508</v>
      </c>
    </row>
    <row r="362" spans="1:21" ht="13.5" customHeight="1" x14ac:dyDescent="0.2">
      <c r="A362" s="10" t="s">
        <v>226</v>
      </c>
      <c r="B362" s="10"/>
      <c r="C362" s="10" t="str" cm="1">
        <f t="array" ref="C362">_xlfn.IFS(S362 = Modules!$A$2,Modules!$B$2,S362 = Modules!$A$3,Modules!$B$3,S362 = Modules!$A$4,Modules!$B$4,S362 = Modules!$A$5,Modules!$B$5,S362 = Modules!$A$6,Modules!$B$6,S362 = Modules!$A$7,Modules!$B$7,S362 = Modules!$A$8,Modules!$B$8,S362 = Modules!$A$9,Modules!$B$9,S362 = Modules!$A$10,Modules!$B$10,S362 = Modules!$A$11,Modules!$B$11,S362 = Modules!$A$12,Modules!$B$12, S362 = Modules!$A$13,Modules!$B$13)</f>
        <v>health</v>
      </c>
      <c r="D362" s="10" t="s">
        <v>1420</v>
      </c>
      <c r="E362" s="10"/>
      <c r="F362" s="10" t="s">
        <v>1425</v>
      </c>
      <c r="G362" s="10"/>
      <c r="H362" s="10"/>
      <c r="I362" s="10"/>
      <c r="J362" s="10" t="str">
        <f t="shared" si="10"/>
        <v>healthLifeYearWbAdj</v>
      </c>
      <c r="K362" s="2" t="s">
        <v>1424</v>
      </c>
      <c r="L362" s="10" t="s">
        <v>1034</v>
      </c>
      <c r="M362" s="10" t="str">
        <f t="shared" si="11"/>
        <v>No</v>
      </c>
      <c r="R362" s="4" t="s">
        <v>605</v>
      </c>
      <c r="S362" s="2" t="s">
        <v>531</v>
      </c>
    </row>
    <row r="363" spans="1:21" ht="13.5" customHeight="1" x14ac:dyDescent="0.2">
      <c r="A363" s="2" t="s">
        <v>47</v>
      </c>
      <c r="C363" s="10" t="str" cm="1">
        <f t="array" ref="C363">_xlfn.IFS(S363 = Modules!$A$2,Modules!$B$2,S363 = Modules!$A$3,Modules!$B$3,S363 = Modules!$A$4,Modules!$B$4,S363 = Modules!$A$5,Modules!$B$5,S363 = Modules!$A$6,Modules!$B$6,S363 = Modules!$A$7,Modules!$B$7,S363 = Modules!$A$8,Modules!$B$8,S363 = Modules!$A$9,Modules!$B$9,S363 = Modules!$A$10,Modules!$B$10,S363 = Modules!$A$11,Modules!$B$11,S363 = Modules!$A$12,Modules!$B$12, S363 = Modules!$A$13,Modules!$B$13)</f>
        <v>y</v>
      </c>
      <c r="E363" s="2" t="s">
        <v>1116</v>
      </c>
      <c r="F363" s="2" t="s">
        <v>766</v>
      </c>
      <c r="H363" s="2" t="s">
        <v>1392</v>
      </c>
      <c r="J363" s="10" t="str">
        <f t="shared" si="10"/>
        <v>yHhQuintilesMonthC5</v>
      </c>
      <c r="K363" s="2" t="s">
        <v>479</v>
      </c>
      <c r="L363" s="2" t="s">
        <v>451</v>
      </c>
      <c r="M363" s="10" t="str">
        <f t="shared" si="11"/>
        <v>Yes</v>
      </c>
      <c r="N363" s="2" t="s">
        <v>111</v>
      </c>
      <c r="O363" s="2" t="s">
        <v>521</v>
      </c>
      <c r="P363" s="2" t="s">
        <v>1353</v>
      </c>
      <c r="Q363" s="2" t="s">
        <v>1253</v>
      </c>
      <c r="S363" s="2" t="s">
        <v>480</v>
      </c>
      <c r="U363" s="2" t="s">
        <v>108</v>
      </c>
    </row>
    <row r="364" spans="1:21" ht="16" x14ac:dyDescent="0.2">
      <c r="A364" s="2" t="s">
        <v>443</v>
      </c>
      <c r="C364" s="10" t="str" cm="1">
        <f t="array" ref="C364">_xlfn.IFS(S364 = Modules!$A$2,Modules!$B$2,S364 = Modules!$A$3,Modules!$B$3,S364 = Modules!$A$4,Modules!$B$4,S364 = Modules!$A$5,Modules!$B$5,S364 = Modules!$A$6,Modules!$B$6,S364 = Modules!$A$7,Modules!$B$7,S364 = Modules!$A$8,Modules!$B$8,S364 = Modules!$A$9,Modules!$B$9,S364 = Modules!$A$10,Modules!$B$10,S364 = Modules!$A$11,Modules!$B$11,S364 = Modules!$A$12,Modules!$B$12, S364 = Modules!$A$13,Modules!$B$13)</f>
        <v>y</v>
      </c>
      <c r="E364" s="2" t="s">
        <v>1116</v>
      </c>
      <c r="F364" s="2" t="s">
        <v>766</v>
      </c>
      <c r="H364" s="2" t="s">
        <v>1118</v>
      </c>
      <c r="I364" s="2" t="s">
        <v>1063</v>
      </c>
      <c r="J364" s="10" t="str">
        <f t="shared" si="10"/>
        <v>yHhQuintilesC5L1</v>
      </c>
      <c r="K364" s="2" t="s">
        <v>643</v>
      </c>
      <c r="L364" s="2" t="s">
        <v>451</v>
      </c>
      <c r="M364" s="10" t="str">
        <f t="shared" si="11"/>
        <v>No</v>
      </c>
      <c r="S364" s="2" t="s">
        <v>480</v>
      </c>
    </row>
    <row r="365" spans="1:21" ht="13.5" customHeight="1" x14ac:dyDescent="0.2">
      <c r="A365" s="2" t="s">
        <v>413</v>
      </c>
      <c r="B365" s="2" t="s">
        <v>1235</v>
      </c>
      <c r="C365" s="10" t="str" cm="1">
        <f t="array" ref="C365">_xlfn.IFS(S365 = Modules!$A$2,Modules!$B$2,S365 = Modules!$A$3,Modules!$B$3,S365 = Modules!$A$4,Modules!$B$4,S365 = Modules!$A$5,Modules!$B$5,S365 = Modules!$A$6,Modules!$B$6,S365 = Modules!$A$7,Modules!$B$7,S365 = Modules!$A$8,Modules!$B$8,S365 = Modules!$A$9,Modules!$B$9,S365 = Modules!$A$10,Modules!$B$10,S365 = Modules!$A$11,Modules!$B$11,S365 = Modules!$A$12,Modules!$B$12, S365 = Modules!$A$13,Modules!$B$13)</f>
        <v>y</v>
      </c>
      <c r="E365" s="2" t="s">
        <v>1116</v>
      </c>
      <c r="F365" s="2" t="s">
        <v>766</v>
      </c>
      <c r="H365" s="2" t="s">
        <v>1118</v>
      </c>
      <c r="J365" s="10" t="str">
        <f t="shared" si="10"/>
        <v>i_yHhQuintilesC5</v>
      </c>
      <c r="K365" s="2" t="s">
        <v>888</v>
      </c>
      <c r="L365" s="2" t="s">
        <v>334</v>
      </c>
      <c r="M365" s="10" t="str">
        <f t="shared" si="11"/>
        <v>No</v>
      </c>
      <c r="S365" s="2" t="s">
        <v>480</v>
      </c>
      <c r="U365" s="2" t="s">
        <v>884</v>
      </c>
    </row>
    <row r="366" spans="1:21" ht="16" x14ac:dyDescent="0.2">
      <c r="A366" s="10" t="s">
        <v>266</v>
      </c>
      <c r="B366" s="10"/>
      <c r="C366" s="10" t="str" cm="1">
        <f t="array" ref="C366">_xlfn.IFS(S366 = Modules!$A$2,Modules!$B$2,S366 = Modules!$A$3,Modules!$B$3,S366 = Modules!$A$4,Modules!$B$4,S366 = Modules!$A$5,Modules!$B$5,S366 = Modules!$A$6,Modules!$B$6,S366 = Modules!$A$7,Modules!$B$7,S366 = Modules!$A$8,Modules!$B$8,S366 = Modules!$A$9,Modules!$B$9,S366 = Modules!$A$10,Modules!$B$10,S366 = Modules!$A$11,Modules!$B$11,S366 = Modules!$A$12,Modules!$B$12, S366 = Modules!$A$13,Modules!$B$13)</f>
        <v>y</v>
      </c>
      <c r="E366" s="2" t="s">
        <v>1116</v>
      </c>
      <c r="F366" s="2" t="s">
        <v>766</v>
      </c>
      <c r="H366" s="2" t="s">
        <v>1226</v>
      </c>
      <c r="J366" s="10" t="str">
        <f t="shared" si="10"/>
        <v>yHhQuintilesC5P20</v>
      </c>
      <c r="K366" s="2" t="s">
        <v>1242</v>
      </c>
      <c r="L366" s="10" t="s">
        <v>1037</v>
      </c>
      <c r="M366" s="10" t="str">
        <f t="shared" si="11"/>
        <v>No</v>
      </c>
      <c r="R366" s="4" t="s">
        <v>743</v>
      </c>
      <c r="S366" s="2" t="s">
        <v>480</v>
      </c>
    </row>
    <row r="367" spans="1:21" ht="13.5" customHeight="1" x14ac:dyDescent="0.2">
      <c r="A367" s="10" t="s">
        <v>267</v>
      </c>
      <c r="B367" s="10"/>
      <c r="C367" s="10" t="str" cm="1">
        <f t="array" ref="C367">_xlfn.IFS(S367 = Modules!$A$2,Modules!$B$2,S367 = Modules!$A$3,Modules!$B$3,S367 = Modules!$A$4,Modules!$B$4,S367 = Modules!$A$5,Modules!$B$5,S367 = Modules!$A$6,Modules!$B$6,S367 = Modules!$A$7,Modules!$B$7,S367 = Modules!$A$8,Modules!$B$8,S367 = Modules!$A$9,Modules!$B$9,S367 = Modules!$A$10,Modules!$B$10,S367 = Modules!$A$11,Modules!$B$11,S367 = Modules!$A$12,Modules!$B$12, S367 = Modules!$A$13,Modules!$B$13)</f>
        <v>y</v>
      </c>
      <c r="E367" s="2" t="s">
        <v>1116</v>
      </c>
      <c r="F367" s="2" t="s">
        <v>766</v>
      </c>
      <c r="H367" s="2" t="s">
        <v>1227</v>
      </c>
      <c r="J367" s="10" t="str">
        <f t="shared" si="10"/>
        <v>yHhQuintilesC5P40</v>
      </c>
      <c r="K367" s="2" t="s">
        <v>1243</v>
      </c>
      <c r="L367" s="10" t="s">
        <v>1037</v>
      </c>
      <c r="M367" s="10" t="str">
        <f t="shared" si="11"/>
        <v>No</v>
      </c>
      <c r="R367" s="4" t="s">
        <v>743</v>
      </c>
      <c r="S367" s="2" t="s">
        <v>480</v>
      </c>
    </row>
    <row r="368" spans="1:21" ht="13.5" customHeight="1" x14ac:dyDescent="0.2">
      <c r="A368" s="10" t="s">
        <v>268</v>
      </c>
      <c r="B368" s="10"/>
      <c r="C368" s="10" t="str" cm="1">
        <f t="array" ref="C368">_xlfn.IFS(S368 = Modules!$A$2,Modules!$B$2,S368 = Modules!$A$3,Modules!$B$3,S368 = Modules!$A$4,Modules!$B$4,S368 = Modules!$A$5,Modules!$B$5,S368 = Modules!$A$6,Modules!$B$6,S368 = Modules!$A$7,Modules!$B$7,S368 = Modules!$A$8,Modules!$B$8,S368 = Modules!$A$9,Modules!$B$9,S368 = Modules!$A$10,Modules!$B$10,S368 = Modules!$A$11,Modules!$B$11,S368 = Modules!$A$12,Modules!$B$12, S368 = Modules!$A$13,Modules!$B$13)</f>
        <v>y</v>
      </c>
      <c r="E368" s="2" t="s">
        <v>1116</v>
      </c>
      <c r="F368" s="2" t="s">
        <v>766</v>
      </c>
      <c r="H368" s="2" t="s">
        <v>1228</v>
      </c>
      <c r="J368" s="10" t="str">
        <f t="shared" si="10"/>
        <v>yHhQuintilesC5P80</v>
      </c>
      <c r="K368" s="2" t="s">
        <v>1244</v>
      </c>
      <c r="L368" s="10" t="s">
        <v>1037</v>
      </c>
      <c r="M368" s="10" t="str">
        <f t="shared" si="11"/>
        <v>No</v>
      </c>
      <c r="R368" s="4" t="s">
        <v>743</v>
      </c>
      <c r="S368" s="2" t="s">
        <v>480</v>
      </c>
    </row>
    <row r="369" spans="1:21" ht="13.5" customHeight="1" x14ac:dyDescent="0.2">
      <c r="A369" s="10" t="s">
        <v>269</v>
      </c>
      <c r="B369" s="10"/>
      <c r="C369" s="10" t="str" cm="1">
        <f t="array" ref="C369">_xlfn.IFS(S369 = Modules!$A$2,Modules!$B$2,S369 = Modules!$A$3,Modules!$B$3,S369 = Modules!$A$4,Modules!$B$4,S369 = Modules!$A$5,Modules!$B$5,S369 = Modules!$A$6,Modules!$B$6,S369 = Modules!$A$7,Modules!$B$7,S369 = Modules!$A$8,Modules!$B$8,S369 = Modules!$A$9,Modules!$B$9,S369 = Modules!$A$10,Modules!$B$10,S369 = Modules!$A$11,Modules!$B$11,S369 = Modules!$A$12,Modules!$B$12, S369 = Modules!$A$13,Modules!$B$13)</f>
        <v>y</v>
      </c>
      <c r="E369" s="2" t="s">
        <v>1116</v>
      </c>
      <c r="F369" s="2" t="s">
        <v>766</v>
      </c>
      <c r="H369" s="2" t="s">
        <v>1228</v>
      </c>
      <c r="J369" s="10" t="str">
        <f t="shared" si="10"/>
        <v>yHhQuintilesC5P80</v>
      </c>
      <c r="K369" s="2" t="s">
        <v>1245</v>
      </c>
      <c r="L369" s="10" t="s">
        <v>1037</v>
      </c>
      <c r="M369" s="10" t="str">
        <f t="shared" si="11"/>
        <v>No</v>
      </c>
      <c r="R369" s="4" t="s">
        <v>743</v>
      </c>
      <c r="S369" s="2" t="s">
        <v>480</v>
      </c>
    </row>
    <row r="370" spans="1:21" ht="13.5" customHeight="1" x14ac:dyDescent="0.2">
      <c r="A370" s="2" t="s">
        <v>414</v>
      </c>
      <c r="B370" s="2" t="s">
        <v>1235</v>
      </c>
      <c r="C370" s="10" t="str" cm="1">
        <f t="array" ref="C370">_xlfn.IFS(S370 = Modules!$A$2,Modules!$B$2,S370 = Modules!$A$3,Modules!$B$3,S370 = Modules!$A$4,Modules!$B$4,S370 = Modules!$A$5,Modules!$B$5,S370 = Modules!$A$6,Modules!$B$6,S370 = Modules!$A$7,Modules!$B$7,S370 = Modules!$A$8,Modules!$B$8,S370 = Modules!$A$9,Modules!$B$9,S370 = Modules!$A$10,Modules!$B$10,S370 = Modules!$A$11,Modules!$B$11,S370 = Modules!$A$12,Modules!$B$12, S370 = Modules!$A$13,Modules!$B$13)</f>
        <v>dem</v>
      </c>
      <c r="D370" s="2" t="s">
        <v>706</v>
      </c>
      <c r="J370" s="10" t="str">
        <f t="shared" si="10"/>
        <v>i_demYear</v>
      </c>
      <c r="K370" s="2" t="s">
        <v>885</v>
      </c>
      <c r="L370" s="2" t="s">
        <v>334</v>
      </c>
      <c r="M370" s="10" t="str">
        <f t="shared" si="11"/>
        <v>No</v>
      </c>
      <c r="S370" s="2" t="s">
        <v>975</v>
      </c>
      <c r="U370" s="2" t="s">
        <v>884</v>
      </c>
    </row>
    <row r="371" spans="1:21" ht="13.5" customHeight="1" x14ac:dyDescent="0.2">
      <c r="A371" s="2" t="s">
        <v>436</v>
      </c>
      <c r="C371" s="10" t="str" cm="1">
        <f t="array" ref="C371">_xlfn.IFS(S371 = Modules!$A$2,Modules!$B$2,S371 = Modules!$A$3,Modules!$B$3,S371 = Modules!$A$4,Modules!$B$4,S371 = Modules!$A$5,Modules!$B$5,S371 = Modules!$A$6,Modules!$B$6,S371 = Modules!$A$7,Modules!$B$7,S371 = Modules!$A$8,Modules!$B$8,S371 = Modules!$A$9,Modules!$B$9,S371 = Modules!$A$10,Modules!$B$10,S371 = Modules!$A$11,Modules!$B$11,S371 = Modules!$A$12,Modules!$B$12, S371 = Modules!$A$13,Modules!$B$13)</f>
        <v>y</v>
      </c>
      <c r="D371" s="2" t="s">
        <v>1086</v>
      </c>
      <c r="F371" s="2" t="s">
        <v>1150</v>
      </c>
      <c r="G371" s="2" t="s">
        <v>1429</v>
      </c>
      <c r="J371" s="10" t="str">
        <f t="shared" si="10"/>
        <v>yDiffDispEquivPrevYear</v>
      </c>
      <c r="K371" s="2" t="s">
        <v>1426</v>
      </c>
      <c r="L371" s="2" t="s">
        <v>451</v>
      </c>
      <c r="M371" s="10" t="str">
        <f t="shared" si="11"/>
        <v>No</v>
      </c>
      <c r="S371" s="2" t="s">
        <v>480</v>
      </c>
    </row>
    <row r="372" spans="1:21" ht="16" x14ac:dyDescent="0.2">
      <c r="A372" s="2" t="s">
        <v>257</v>
      </c>
      <c r="C372" s="10" t="str" cm="1">
        <f t="array" ref="C372">_xlfn.IFS(S372 = Modules!$A$2,Modules!$B$2,S372 = Modules!$A$3,Modules!$B$3,S372 = Modules!$A$4,Modules!$B$4,S372 = Modules!$A$5,Modules!$B$5,S372 = Modules!$A$6,Modules!$B$6,S372 = Modules!$A$7,Modules!$B$7,S372 = Modules!$A$8,Modules!$B$8,S372 = Modules!$A$9,Modules!$B$9,S372 = Modules!$A$10,Modules!$B$10,S372 = Modules!$A$11,Modules!$B$11,S372 = Modules!$A$12,Modules!$B$12, S372 = Modules!$A$13,Modules!$B$13)</f>
        <v>x</v>
      </c>
      <c r="F372" s="2" t="s">
        <v>1149</v>
      </c>
      <c r="I372" s="2" t="s">
        <v>706</v>
      </c>
      <c r="J372" s="10" t="str">
        <f t="shared" si="10"/>
        <v>xEquivYear</v>
      </c>
      <c r="K372" s="2" t="s">
        <v>792</v>
      </c>
      <c r="L372" s="10" t="s">
        <v>334</v>
      </c>
      <c r="M372" s="10" t="str">
        <f t="shared" si="11"/>
        <v>No</v>
      </c>
      <c r="S372" s="2" t="s">
        <v>595</v>
      </c>
    </row>
    <row r="373" spans="1:21" ht="13.5" customHeight="1" x14ac:dyDescent="0.2">
      <c r="A373" s="2" t="s">
        <v>385</v>
      </c>
      <c r="C373" s="10" t="str" cm="1">
        <f t="array" ref="C373">_xlfn.IFS(S373 = Modules!$A$2,Modules!$B$2,S373 = Modules!$A$3,Modules!$B$3,S373 = Modules!$A$4,Modules!$B$4,S373 = Modules!$A$5,Modules!$B$5,S373 = Modules!$A$6,Modules!$B$6,S373 = Modules!$A$7,Modules!$B$7,S373 = Modules!$A$8,Modules!$B$8,S373 = Modules!$A$9,Modules!$B$9,S373 = Modules!$A$10,Modules!$B$10,S373 = Modules!$A$11,Modules!$B$11,S373 = Modules!$A$12,Modules!$B$12, S373 = Modules!$A$13,Modules!$B$13)</f>
        <v>x</v>
      </c>
      <c r="F373" s="2" t="s">
        <v>1149</v>
      </c>
      <c r="I373" s="2" t="s">
        <v>1151</v>
      </c>
      <c r="J373" s="10" t="str">
        <f t="shared" si="10"/>
        <v>xEquivYearL1</v>
      </c>
      <c r="K373" s="2" t="s">
        <v>793</v>
      </c>
      <c r="L373" s="2" t="s">
        <v>334</v>
      </c>
      <c r="M373" s="10" t="str">
        <f t="shared" si="11"/>
        <v>No</v>
      </c>
      <c r="S373" s="2" t="s">
        <v>595</v>
      </c>
    </row>
    <row r="374" spans="1:21" ht="13.5" customHeight="1" x14ac:dyDescent="0.2">
      <c r="A374" s="2" t="s">
        <v>384</v>
      </c>
      <c r="C374" s="10" t="str" cm="1">
        <f t="array" ref="C374">_xlfn.IFS(S374 = Modules!$A$2,Modules!$B$2,S374 = Modules!$A$3,Modules!$B$3,S374 = Modules!$A$4,Modules!$B$4,S374 = Modules!$A$5,Modules!$B$5,S374 = Modules!$A$6,Modules!$B$6,S374 = Modules!$A$7,Modules!$B$7,S374 = Modules!$A$8,Modules!$B$8,S374 = Modules!$A$9,Modules!$B$9,S374 = Modules!$A$10,Modules!$B$10,S374 = Modules!$A$11,Modules!$B$11,S374 = Modules!$A$12,Modules!$B$12, S374 = Modules!$A$13,Modules!$B$13)</f>
        <v>y</v>
      </c>
      <c r="F374" s="2" t="s">
        <v>1150</v>
      </c>
      <c r="I374" s="2" t="s">
        <v>706</v>
      </c>
      <c r="J374" s="10" t="str">
        <f t="shared" si="10"/>
        <v>yDispEquivYear</v>
      </c>
      <c r="K374" s="2" t="s">
        <v>874</v>
      </c>
      <c r="L374" s="2" t="s">
        <v>334</v>
      </c>
      <c r="M374" s="10" t="str">
        <f t="shared" si="11"/>
        <v>No</v>
      </c>
      <c r="S374" s="2" t="s">
        <v>480</v>
      </c>
    </row>
    <row r="375" spans="1:21" ht="13.5" customHeight="1" x14ac:dyDescent="0.2">
      <c r="A375" s="2" t="s">
        <v>63</v>
      </c>
      <c r="C375" s="10" t="str" cm="1">
        <f t="array" ref="C375">_xlfn.IFS(S375 = Modules!$A$2,Modules!$B$2,S375 = Modules!$A$3,Modules!$B$3,S375 = Modules!$A$4,Modules!$B$4,S375 = Modules!$A$5,Modules!$B$5,S375 = Modules!$A$6,Modules!$B$6,S375 = Modules!$A$7,Modules!$B$7,S375 = Modules!$A$8,Modules!$B$8,S375 = Modules!$A$9,Modules!$B$9,S375 = Modules!$A$10,Modules!$B$10,S375 = Modules!$A$11,Modules!$B$11,S375 = Modules!$A$12,Modules!$B$12, S375 = Modules!$A$13,Modules!$B$13)</f>
        <v>y</v>
      </c>
      <c r="E375" s="2" t="s">
        <v>1229</v>
      </c>
      <c r="F375" s="2" t="s">
        <v>580</v>
      </c>
      <c r="G375" s="2" t="s">
        <v>1086</v>
      </c>
      <c r="I375" s="2" t="s">
        <v>1069</v>
      </c>
      <c r="J375" s="10" t="str">
        <f t="shared" si="10"/>
        <v>yPersAndPartnerGrossDiffMonth</v>
      </c>
      <c r="K375" s="2" t="s">
        <v>1391</v>
      </c>
      <c r="L375" s="2" t="s">
        <v>334</v>
      </c>
      <c r="M375" s="10" t="str">
        <f t="shared" si="11"/>
        <v>Yes</v>
      </c>
      <c r="N375" s="2" t="s">
        <v>647</v>
      </c>
      <c r="O375" s="2" t="s">
        <v>521</v>
      </c>
      <c r="P375" s="2" t="s">
        <v>1305</v>
      </c>
      <c r="Q375" s="2" t="s">
        <v>1253</v>
      </c>
      <c r="S375" s="2" t="s">
        <v>480</v>
      </c>
      <c r="U375" s="2" t="s">
        <v>79</v>
      </c>
    </row>
    <row r="376" spans="1:21" ht="16" x14ac:dyDescent="0.2">
      <c r="A376" s="2" t="s">
        <v>364</v>
      </c>
      <c r="C376" s="10" t="str" cm="1">
        <f t="array" ref="C376">_xlfn.IFS(S376 = Modules!$A$2,Modules!$B$2,S376 = Modules!$A$3,Modules!$B$3,S376 = Modules!$A$4,Modules!$B$4,S376 = Modules!$A$5,Modules!$B$5,S376 = Modules!$A$6,Modules!$B$6,S376 = Modules!$A$7,Modules!$B$7,S376 = Modules!$A$8,Modules!$B$8,S376 = Modules!$A$9,Modules!$B$9,S376 = Modules!$A$10,Modules!$B$10,S376 = Modules!$A$11,Modules!$B$11,S376 = Modules!$A$12,Modules!$B$12, S376 = Modules!$A$13,Modules!$B$13)</f>
        <v>y</v>
      </c>
      <c r="E376" s="2" t="s">
        <v>1229</v>
      </c>
      <c r="F376" s="2" t="s">
        <v>580</v>
      </c>
      <c r="G376" s="2" t="s">
        <v>1086</v>
      </c>
      <c r="I376" s="2" t="s">
        <v>1384</v>
      </c>
      <c r="J376" s="10" t="str">
        <f t="shared" si="10"/>
        <v>yPersAndPartnerGrossDiffMonthL1</v>
      </c>
      <c r="K376" s="2" t="s">
        <v>505</v>
      </c>
      <c r="L376" s="2" t="s">
        <v>334</v>
      </c>
      <c r="M376" s="10" t="str">
        <f t="shared" si="11"/>
        <v>No</v>
      </c>
      <c r="S376" s="2" t="s">
        <v>480</v>
      </c>
    </row>
    <row r="377" spans="1:21" ht="13.5" customHeight="1" x14ac:dyDescent="0.2">
      <c r="A377" s="2" t="s">
        <v>59</v>
      </c>
      <c r="C377" s="10" t="str" cm="1">
        <f t="array" ref="C377">_xlfn.IFS(S377 = Modules!$A$2,Modules!$B$2,S377 = Modules!$A$3,Modules!$B$3,S377 = Modules!$A$4,Modules!$B$4,S377 = Modules!$A$5,Modules!$B$5,S377 = Modules!$A$6,Modules!$B$6,S377 = Modules!$A$7,Modules!$B$7,S377 = Modules!$A$8,Modules!$B$8,S377 = Modules!$A$9,Modules!$B$9,S377 = Modules!$A$10,Modules!$B$10,S377 = Modules!$A$11,Modules!$B$11,S377 = Modules!$A$12,Modules!$B$12, S377 = Modules!$A$13,Modules!$B$13)</f>
        <v>y</v>
      </c>
      <c r="D377" s="2" t="s">
        <v>1209</v>
      </c>
      <c r="E377" s="2" t="s">
        <v>1179</v>
      </c>
      <c r="F377" s="2" t="s">
        <v>580</v>
      </c>
      <c r="I377" s="2" t="s">
        <v>1069</v>
      </c>
      <c r="J377" s="10" t="str">
        <f t="shared" si="10"/>
        <v>yEmpPersGrossMonth</v>
      </c>
      <c r="K377" s="2" t="s">
        <v>1390</v>
      </c>
      <c r="L377" s="2" t="s">
        <v>334</v>
      </c>
      <c r="M377" s="10" t="str">
        <f t="shared" si="11"/>
        <v>Yes</v>
      </c>
      <c r="N377" s="2" t="s">
        <v>646</v>
      </c>
      <c r="O377" s="2" t="s">
        <v>521</v>
      </c>
      <c r="P377" s="2" t="s">
        <v>1304</v>
      </c>
      <c r="Q377" s="2" t="s">
        <v>1253</v>
      </c>
      <c r="S377" s="2" t="s">
        <v>480</v>
      </c>
      <c r="U377" s="2" t="s">
        <v>60</v>
      </c>
    </row>
    <row r="378" spans="1:21" ht="16" x14ac:dyDescent="0.2">
      <c r="A378" s="2" t="s">
        <v>396</v>
      </c>
      <c r="C378" s="10" t="str" cm="1">
        <f t="array" ref="C378">_xlfn.IFS(S378 = Modules!$A$2,Modules!$B$2,S378 = Modules!$A$3,Modules!$B$3,S378 = Modules!$A$4,Modules!$B$4,S378 = Modules!$A$5,Modules!$B$5,S378 = Modules!$A$6,Modules!$B$6,S378 = Modules!$A$7,Modules!$B$7,S378 = Modules!$A$8,Modules!$B$8,S378 = Modules!$A$9,Modules!$B$9,S378 = Modules!$A$10,Modules!$B$10,S378 = Modules!$A$11,Modules!$B$11,S378 = Modules!$A$12,Modules!$B$12, S378 = Modules!$A$13,Modules!$B$13)</f>
        <v>y</v>
      </c>
      <c r="D378" s="2" t="s">
        <v>1209</v>
      </c>
      <c r="E378" s="2" t="s">
        <v>1179</v>
      </c>
      <c r="F378" s="2" t="s">
        <v>580</v>
      </c>
      <c r="I378" s="2" t="s">
        <v>1384</v>
      </c>
      <c r="J378" s="10" t="str">
        <f t="shared" si="10"/>
        <v>yEmpPersGrossMonthL1</v>
      </c>
      <c r="K378" s="2" t="s">
        <v>502</v>
      </c>
      <c r="L378" s="2" t="s">
        <v>334</v>
      </c>
      <c r="M378" s="10" t="str">
        <f t="shared" si="11"/>
        <v>No</v>
      </c>
      <c r="S378" s="2" t="s">
        <v>480</v>
      </c>
    </row>
    <row r="379" spans="1:21" ht="16" x14ac:dyDescent="0.2">
      <c r="A379" s="2" t="s">
        <v>397</v>
      </c>
      <c r="C379" s="10" t="str" cm="1">
        <f t="array" ref="C379">_xlfn.IFS(S379 = Modules!$A$2,Modules!$B$2,S379 = Modules!$A$3,Modules!$B$3,S379 = Modules!$A$4,Modules!$B$4,S379 = Modules!$A$5,Modules!$B$5,S379 = Modules!$A$6,Modules!$B$6,S379 = Modules!$A$7,Modules!$B$7,S379 = Modules!$A$8,Modules!$B$8,S379 = Modules!$A$9,Modules!$B$9,S379 = Modules!$A$10,Modules!$B$10,S379 = Modules!$A$11,Modules!$B$11,S379 = Modules!$A$12,Modules!$B$12, S379 = Modules!$A$13,Modules!$B$13)</f>
        <v>y</v>
      </c>
      <c r="D379" s="2" t="s">
        <v>1209</v>
      </c>
      <c r="E379" s="2" t="s">
        <v>1179</v>
      </c>
      <c r="F379" s="2" t="s">
        <v>580</v>
      </c>
      <c r="I379" s="2" t="s">
        <v>1385</v>
      </c>
      <c r="J379" s="10" t="str">
        <f t="shared" si="10"/>
        <v>yEmpPersGrossMonthL2</v>
      </c>
      <c r="K379" s="2" t="s">
        <v>503</v>
      </c>
      <c r="L379" s="2" t="s">
        <v>334</v>
      </c>
      <c r="M379" s="10" t="str">
        <f t="shared" si="11"/>
        <v>No</v>
      </c>
      <c r="S379" s="2" t="s">
        <v>480</v>
      </c>
    </row>
    <row r="380" spans="1:21" ht="16" x14ac:dyDescent="0.2">
      <c r="A380" s="2" t="s">
        <v>398</v>
      </c>
      <c r="C380" s="10" t="str" cm="1">
        <f t="array" ref="C380">_xlfn.IFS(S380 = Modules!$A$2,Modules!$B$2,S380 = Modules!$A$3,Modules!$B$3,S380 = Modules!$A$4,Modules!$B$4,S380 = Modules!$A$5,Modules!$B$5,S380 = Modules!$A$6,Modules!$B$6,S380 = Modules!$A$7,Modules!$B$7,S380 = Modules!$A$8,Modules!$B$8,S380 = Modules!$A$9,Modules!$B$9,S380 = Modules!$A$10,Modules!$B$10,S380 = Modules!$A$11,Modules!$B$11,S380 = Modules!$A$12,Modules!$B$12, S380 = Modules!$A$13,Modules!$B$13)</f>
        <v>y</v>
      </c>
      <c r="D380" s="2" t="s">
        <v>1209</v>
      </c>
      <c r="E380" s="2" t="s">
        <v>1179</v>
      </c>
      <c r="F380" s="2" t="s">
        <v>580</v>
      </c>
      <c r="I380" s="2" t="s">
        <v>1388</v>
      </c>
      <c r="J380" s="10" t="str">
        <f t="shared" si="10"/>
        <v>yEmpPersGrossMonthL3</v>
      </c>
      <c r="K380" s="2" t="s">
        <v>504</v>
      </c>
      <c r="L380" s="2" t="s">
        <v>334</v>
      </c>
      <c r="M380" s="10" t="str">
        <f t="shared" si="11"/>
        <v>No</v>
      </c>
      <c r="S380" s="2" t="s">
        <v>480</v>
      </c>
    </row>
    <row r="381" spans="1:21" ht="13.5" customHeight="1" x14ac:dyDescent="0.2">
      <c r="A381" s="2" t="s">
        <v>64</v>
      </c>
      <c r="C381" s="10" t="str" cm="1">
        <f t="array" ref="C381">_xlfn.IFS(S381 = Modules!$A$2,Modules!$B$2,S381 = Modules!$A$3,Modules!$B$3,S381 = Modules!$A$4,Modules!$B$4,S381 = Modules!$A$5,Modules!$B$5,S381 = Modules!$A$6,Modules!$B$6,S381 = Modules!$A$7,Modules!$B$7,S381 = Modules!$A$8,Modules!$B$8,S381 = Modules!$A$9,Modules!$B$9,S381 = Modules!$A$10,Modules!$B$10,S381 = Modules!$A$11,Modules!$B$11,S381 = Modules!$A$12,Modules!$B$12, S381 = Modules!$A$13,Modules!$B$13)</f>
        <v>y</v>
      </c>
      <c r="D381" s="2" t="s">
        <v>1230</v>
      </c>
      <c r="E381" s="2" t="s">
        <v>1179</v>
      </c>
      <c r="F381" s="2" t="s">
        <v>580</v>
      </c>
      <c r="I381" s="2" t="s">
        <v>1069</v>
      </c>
      <c r="J381" s="10" t="str">
        <f t="shared" si="10"/>
        <v>yNonBenPersGrossMonth</v>
      </c>
      <c r="K381" s="2" t="s">
        <v>1389</v>
      </c>
      <c r="L381" s="2" t="s">
        <v>334</v>
      </c>
      <c r="M381" s="10" t="str">
        <f t="shared" si="11"/>
        <v>Yes</v>
      </c>
      <c r="N381" s="2" t="s">
        <v>111</v>
      </c>
      <c r="O381" s="2" t="s">
        <v>521</v>
      </c>
      <c r="P381" s="2" t="s">
        <v>1301</v>
      </c>
      <c r="Q381" s="2" t="s">
        <v>1253</v>
      </c>
      <c r="S381" s="2" t="s">
        <v>480</v>
      </c>
      <c r="U381" s="2" t="s">
        <v>109</v>
      </c>
    </row>
    <row r="382" spans="1:21" ht="16" x14ac:dyDescent="0.2">
      <c r="A382" s="2" t="s">
        <v>387</v>
      </c>
      <c r="C382" s="10" t="str" cm="1">
        <f t="array" ref="C382">_xlfn.IFS(S382 = Modules!$A$2,Modules!$B$2,S382 = Modules!$A$3,Modules!$B$3,S382 = Modules!$A$4,Modules!$B$4,S382 = Modules!$A$5,Modules!$B$5,S382 = Modules!$A$6,Modules!$B$6,S382 = Modules!$A$7,Modules!$B$7,S382 = Modules!$A$8,Modules!$B$8,S382 = Modules!$A$9,Modules!$B$9,S382 = Modules!$A$10,Modules!$B$10,S382 = Modules!$A$11,Modules!$B$11,S382 = Modules!$A$12,Modules!$B$12, S382 = Modules!$A$13,Modules!$B$13)</f>
        <v>y</v>
      </c>
      <c r="D382" s="2" t="s">
        <v>1230</v>
      </c>
      <c r="E382" s="2" t="s">
        <v>1179</v>
      </c>
      <c r="F382" s="2" t="s">
        <v>580</v>
      </c>
      <c r="I382" s="2" t="s">
        <v>1384</v>
      </c>
      <c r="J382" s="10" t="str">
        <f t="shared" si="10"/>
        <v>yNonBenPersGrossMonthL1</v>
      </c>
      <c r="K382" s="2" t="s">
        <v>495</v>
      </c>
      <c r="L382" s="2" t="s">
        <v>334</v>
      </c>
      <c r="M382" s="10" t="str">
        <f t="shared" si="11"/>
        <v>Yes</v>
      </c>
      <c r="Q382" s="2" t="s">
        <v>1300</v>
      </c>
      <c r="S382" s="2" t="s">
        <v>480</v>
      </c>
    </row>
    <row r="383" spans="1:21" ht="32" x14ac:dyDescent="0.2">
      <c r="A383" s="2" t="s">
        <v>157</v>
      </c>
      <c r="C383" s="10" t="str" cm="1">
        <f t="array" ref="C383">_xlfn.IFS(S383 = Modules!$A$2,Modules!$B$2,S383 = Modules!$A$3,Modules!$B$3,S383 = Modules!$A$4,Modules!$B$4,S383 = Modules!$A$5,Modules!$B$5,S383 = Modules!$A$6,Modules!$B$6,S383 = Modules!$A$7,Modules!$B$7,S383 = Modules!$A$8,Modules!$B$8,S383 = Modules!$A$9,Modules!$B$9,S383 = Modules!$A$10,Modules!$B$10,S383 = Modules!$A$11,Modules!$B$11,S383 = Modules!$A$12,Modules!$B$12, S383 = Modules!$A$13,Modules!$B$13)</f>
        <v>y</v>
      </c>
      <c r="D383" s="2" t="s">
        <v>1231</v>
      </c>
      <c r="E383" s="2" t="s">
        <v>1179</v>
      </c>
      <c r="I383" s="2" t="s">
        <v>1069</v>
      </c>
      <c r="J383" s="10" t="str">
        <f t="shared" si="10"/>
        <v>yCapitalPersMonth</v>
      </c>
      <c r="K383" s="2" t="s">
        <v>1383</v>
      </c>
      <c r="L383" s="8" t="s">
        <v>334</v>
      </c>
      <c r="M383" s="10" t="str">
        <f t="shared" si="11"/>
        <v>Yes</v>
      </c>
      <c r="N383" s="2" t="s">
        <v>644</v>
      </c>
      <c r="O383" s="2" t="s">
        <v>521</v>
      </c>
      <c r="P383" s="2" t="s">
        <v>1302</v>
      </c>
      <c r="Q383" s="2" t="s">
        <v>1253</v>
      </c>
      <c r="S383" s="2" t="s">
        <v>480</v>
      </c>
    </row>
    <row r="384" spans="1:21" ht="16" x14ac:dyDescent="0.2">
      <c r="A384" s="2" t="s">
        <v>388</v>
      </c>
      <c r="C384" s="10" t="str" cm="1">
        <f t="array" ref="C384">_xlfn.IFS(S384 = Modules!$A$2,Modules!$B$2,S384 = Modules!$A$3,Modules!$B$3,S384 = Modules!$A$4,Modules!$B$4,S384 = Modules!$A$5,Modules!$B$5,S384 = Modules!$A$6,Modules!$B$6,S384 = Modules!$A$7,Modules!$B$7,S384 = Modules!$A$8,Modules!$B$8,S384 = Modules!$A$9,Modules!$B$9,S384 = Modules!$A$10,Modules!$B$10,S384 = Modules!$A$11,Modules!$B$11,S384 = Modules!$A$12,Modules!$B$12, S384 = Modules!$A$13,Modules!$B$13)</f>
        <v>y</v>
      </c>
      <c r="D384" s="2" t="s">
        <v>1231</v>
      </c>
      <c r="E384" s="2" t="s">
        <v>1179</v>
      </c>
      <c r="I384" s="2" t="s">
        <v>1384</v>
      </c>
      <c r="J384" s="10" t="str">
        <f t="shared" si="10"/>
        <v>yCapitalPersMonthL1</v>
      </c>
      <c r="K384" s="2" t="s">
        <v>390</v>
      </c>
      <c r="L384" s="2" t="s">
        <v>334</v>
      </c>
      <c r="M384" s="10" t="str">
        <f t="shared" si="11"/>
        <v>No</v>
      </c>
      <c r="S384" s="2" t="s">
        <v>480</v>
      </c>
    </row>
    <row r="385" spans="1:21" ht="16" x14ac:dyDescent="0.2">
      <c r="A385" s="2" t="s">
        <v>389</v>
      </c>
      <c r="C385" s="10" t="str" cm="1">
        <f t="array" ref="C385">_xlfn.IFS(S385 = Modules!$A$2,Modules!$B$2,S385 = Modules!$A$3,Modules!$B$3,S385 = Modules!$A$4,Modules!$B$4,S385 = Modules!$A$5,Modules!$B$5,S385 = Modules!$A$6,Modules!$B$6,S385 = Modules!$A$7,Modules!$B$7,S385 = Modules!$A$8,Modules!$B$8,S385 = Modules!$A$9,Modules!$B$9,S385 = Modules!$A$10,Modules!$B$10,S385 = Modules!$A$11,Modules!$B$11,S385 = Modules!$A$12,Modules!$B$12, S385 = Modules!$A$13,Modules!$B$13)</f>
        <v>y</v>
      </c>
      <c r="D385" s="2" t="s">
        <v>1231</v>
      </c>
      <c r="E385" s="2" t="s">
        <v>1179</v>
      </c>
      <c r="I385" s="2" t="s">
        <v>1385</v>
      </c>
      <c r="J385" s="10" t="str">
        <f t="shared" ref="J385:J392" si="12">CONCATENATE(B385, C385,D385,E385,F385,G385,H385,I385)</f>
        <v>yCapitalPersMonthL2</v>
      </c>
      <c r="K385" s="2" t="s">
        <v>496</v>
      </c>
      <c r="L385" s="2" t="s">
        <v>334</v>
      </c>
      <c r="M385" s="10" t="str">
        <f t="shared" ref="M385:M392" si="13">IF(OR(O385&lt;&gt;"", Q385&lt;&gt;""),"Yes","No")</f>
        <v>No</v>
      </c>
      <c r="S385" s="2" t="s">
        <v>480</v>
      </c>
    </row>
    <row r="386" spans="1:21" ht="16" x14ac:dyDescent="0.2">
      <c r="A386" s="2" t="s">
        <v>158</v>
      </c>
      <c r="C386" s="10" t="str" cm="1">
        <f t="array" ref="C386">_xlfn.IFS(S386 = Modules!$A$2,Modules!$B$2,S386 = Modules!$A$3,Modules!$B$3,S386 = Modules!$A$4,Modules!$B$4,S386 = Modules!$A$5,Modules!$B$5,S386 = Modules!$A$6,Modules!$B$6,S386 = Modules!$A$7,Modules!$B$7,S386 = Modules!$A$8,Modules!$B$8,S386 = Modules!$A$9,Modules!$B$9,S386 = Modules!$A$10,Modules!$B$10,S386 = Modules!$A$11,Modules!$B$11,S386 = Modules!$A$12,Modules!$B$12, S386 = Modules!$A$13,Modules!$B$13)</f>
        <v>y</v>
      </c>
      <c r="D386" s="2" t="s">
        <v>1206</v>
      </c>
      <c r="E386" s="2" t="s">
        <v>1179</v>
      </c>
      <c r="F386" s="2" t="s">
        <v>580</v>
      </c>
      <c r="I386" s="2" t="s">
        <v>1069</v>
      </c>
      <c r="J386" s="10" t="str">
        <f t="shared" si="12"/>
        <v>yPensPersGrossMonth</v>
      </c>
      <c r="K386" s="2" t="s">
        <v>1386</v>
      </c>
      <c r="L386" s="8" t="s">
        <v>334</v>
      </c>
      <c r="M386" s="10" t="str">
        <f t="shared" si="13"/>
        <v>Yes</v>
      </c>
      <c r="N386" s="2" t="s">
        <v>645</v>
      </c>
      <c r="O386" s="2" t="s">
        <v>521</v>
      </c>
      <c r="P386" s="2" t="s">
        <v>1306</v>
      </c>
      <c r="Q386" s="2" t="s">
        <v>1253</v>
      </c>
      <c r="S386" s="2" t="s">
        <v>480</v>
      </c>
    </row>
    <row r="387" spans="1:21" ht="16" x14ac:dyDescent="0.2">
      <c r="A387" s="2" t="s">
        <v>391</v>
      </c>
      <c r="C387" s="10" t="str" cm="1">
        <f t="array" ref="C387">_xlfn.IFS(S387 = Modules!$A$2,Modules!$B$2,S387 = Modules!$A$3,Modules!$B$3,S387 = Modules!$A$4,Modules!$B$4,S387 = Modules!$A$5,Modules!$B$5,S387 = Modules!$A$6,Modules!$B$6,S387 = Modules!$A$7,Modules!$B$7,S387 = Modules!$A$8,Modules!$B$8,S387 = Modules!$A$9,Modules!$B$9,S387 = Modules!$A$10,Modules!$B$10,S387 = Modules!$A$11,Modules!$B$11,S387 = Modules!$A$12,Modules!$B$12, S387 = Modules!$A$13,Modules!$B$13)</f>
        <v>y</v>
      </c>
      <c r="D387" s="2" t="s">
        <v>1206</v>
      </c>
      <c r="E387" s="2" t="s">
        <v>1179</v>
      </c>
      <c r="F387" s="2" t="s">
        <v>580</v>
      </c>
      <c r="I387" s="2" t="s">
        <v>1384</v>
      </c>
      <c r="J387" s="10" t="str">
        <f t="shared" si="12"/>
        <v>yPensPersGrossMonthL1</v>
      </c>
      <c r="K387" s="2" t="s">
        <v>497</v>
      </c>
      <c r="L387" s="2" t="s">
        <v>334</v>
      </c>
      <c r="M387" s="10" t="str">
        <f t="shared" si="13"/>
        <v>No</v>
      </c>
      <c r="S387" s="2" t="s">
        <v>480</v>
      </c>
    </row>
    <row r="388" spans="1:21" ht="16" x14ac:dyDescent="0.2">
      <c r="A388" s="2" t="s">
        <v>392</v>
      </c>
      <c r="C388" s="10" t="str" cm="1">
        <f t="array" ref="C388">_xlfn.IFS(S388 = Modules!$A$2,Modules!$B$2,S388 = Modules!$A$3,Modules!$B$3,S388 = Modules!$A$4,Modules!$B$4,S388 = Modules!$A$5,Modules!$B$5,S388 = Modules!$A$6,Modules!$B$6,S388 = Modules!$A$7,Modules!$B$7,S388 = Modules!$A$8,Modules!$B$8,S388 = Modules!$A$9,Modules!$B$9,S388 = Modules!$A$10,Modules!$B$10,S388 = Modules!$A$11,Modules!$B$11,S388 = Modules!$A$12,Modules!$B$12, S388 = Modules!$A$13,Modules!$B$13)</f>
        <v>y</v>
      </c>
      <c r="D388" s="2" t="s">
        <v>1206</v>
      </c>
      <c r="E388" s="2" t="s">
        <v>1179</v>
      </c>
      <c r="F388" s="2" t="s">
        <v>580</v>
      </c>
      <c r="I388" s="2" t="s">
        <v>1385</v>
      </c>
      <c r="J388" s="10" t="str">
        <f t="shared" si="12"/>
        <v>yPensPersGrossMonthL2</v>
      </c>
      <c r="K388" s="2" t="s">
        <v>498</v>
      </c>
      <c r="L388" s="2" t="s">
        <v>334</v>
      </c>
      <c r="M388" s="10" t="str">
        <f t="shared" si="13"/>
        <v>No</v>
      </c>
      <c r="S388" s="2" t="s">
        <v>480</v>
      </c>
    </row>
    <row r="389" spans="1:21" ht="112" x14ac:dyDescent="0.2">
      <c r="A389" s="2" t="s">
        <v>58</v>
      </c>
      <c r="C389" s="10" t="str" cm="1">
        <f t="array" ref="C389">_xlfn.IFS(S389 = Modules!$A$2,Modules!$B$2,S389 = Modules!$A$3,Modules!$B$3,S389 = Modules!$A$4,Modules!$B$4,S389 = Modules!$A$5,Modules!$B$5,S389 = Modules!$A$6,Modules!$B$6,S389 = Modules!$A$7,Modules!$B$7,S389 = Modules!$A$8,Modules!$B$8,S389 = Modules!$A$9,Modules!$B$9,S389 = Modules!$A$10,Modules!$B$10,S389 = Modules!$A$11,Modules!$B$11,S389 = Modules!$A$12,Modules!$B$12, S389 = Modules!$A$13,Modules!$B$13)</f>
        <v>y</v>
      </c>
      <c r="D389" s="2" t="s">
        <v>1232</v>
      </c>
      <c r="E389" s="2" t="s">
        <v>1179</v>
      </c>
      <c r="F389" s="2" t="s">
        <v>580</v>
      </c>
      <c r="I389" s="2" t="s">
        <v>1069</v>
      </c>
      <c r="J389" s="10" t="str">
        <f t="shared" si="12"/>
        <v>yMiscPersGrossMonth</v>
      </c>
      <c r="K389" s="2" t="s">
        <v>1387</v>
      </c>
      <c r="L389" s="2" t="s">
        <v>170</v>
      </c>
      <c r="M389" s="10" t="str">
        <f t="shared" si="13"/>
        <v>Yes</v>
      </c>
      <c r="N389" s="2" t="s">
        <v>110</v>
      </c>
      <c r="O389" s="2" t="s">
        <v>521</v>
      </c>
      <c r="P389" s="2" t="s">
        <v>1303</v>
      </c>
      <c r="Q389" s="2" t="s">
        <v>1253</v>
      </c>
      <c r="S389" s="2" t="s">
        <v>480</v>
      </c>
      <c r="U389" s="2" t="s">
        <v>112</v>
      </c>
    </row>
    <row r="390" spans="1:21" ht="16" x14ac:dyDescent="0.2">
      <c r="A390" s="2" t="s">
        <v>393</v>
      </c>
      <c r="C390" s="10" t="str" cm="1">
        <f t="array" ref="C390">_xlfn.IFS(S390 = Modules!$A$2,Modules!$B$2,S390 = Modules!$A$3,Modules!$B$3,S390 = Modules!$A$4,Modules!$B$4,S390 = Modules!$A$5,Modules!$B$5,S390 = Modules!$A$6,Modules!$B$6,S390 = Modules!$A$7,Modules!$B$7,S390 = Modules!$A$8,Modules!$B$8,S390 = Modules!$A$9,Modules!$B$9,S390 = Modules!$A$10,Modules!$B$10,S390 = Modules!$A$11,Modules!$B$11,S390 = Modules!$A$12,Modules!$B$12, S390 = Modules!$A$13,Modules!$B$13)</f>
        <v>y</v>
      </c>
      <c r="D390" s="2" t="s">
        <v>1232</v>
      </c>
      <c r="E390" s="2" t="s">
        <v>1179</v>
      </c>
      <c r="F390" s="2" t="s">
        <v>580</v>
      </c>
      <c r="I390" s="2" t="s">
        <v>1384</v>
      </c>
      <c r="J390" s="10" t="str">
        <f t="shared" si="12"/>
        <v>yMiscPersGrossMonthL1</v>
      </c>
      <c r="K390" s="2" t="s">
        <v>499</v>
      </c>
      <c r="L390" s="2" t="s">
        <v>334</v>
      </c>
      <c r="M390" s="10" t="str">
        <f t="shared" si="13"/>
        <v>No</v>
      </c>
      <c r="S390" s="2" t="s">
        <v>480</v>
      </c>
    </row>
    <row r="391" spans="1:21" ht="13.5" customHeight="1" x14ac:dyDescent="0.2">
      <c r="A391" s="2" t="s">
        <v>394</v>
      </c>
      <c r="C391" s="10" t="str" cm="1">
        <f t="array" ref="C391">_xlfn.IFS(S391 = Modules!$A$2,Modules!$B$2,S391 = Modules!$A$3,Modules!$B$3,S391 = Modules!$A$4,Modules!$B$4,S391 = Modules!$A$5,Modules!$B$5,S391 = Modules!$A$6,Modules!$B$6,S391 = Modules!$A$7,Modules!$B$7,S391 = Modules!$A$8,Modules!$B$8,S391 = Modules!$A$9,Modules!$B$9,S391 = Modules!$A$10,Modules!$B$10,S391 = Modules!$A$11,Modules!$B$11,S391 = Modules!$A$12,Modules!$B$12, S391 = Modules!$A$13,Modules!$B$13)</f>
        <v>y</v>
      </c>
      <c r="D391" s="2" t="s">
        <v>1232</v>
      </c>
      <c r="E391" s="2" t="s">
        <v>1179</v>
      </c>
      <c r="F391" s="2" t="s">
        <v>580</v>
      </c>
      <c r="I391" s="2" t="s">
        <v>1385</v>
      </c>
      <c r="J391" s="10" t="str">
        <f t="shared" si="12"/>
        <v>yMiscPersGrossMonthL2</v>
      </c>
      <c r="K391" s="2" t="s">
        <v>500</v>
      </c>
      <c r="L391" s="2" t="s">
        <v>334</v>
      </c>
      <c r="M391" s="10" t="str">
        <f t="shared" si="13"/>
        <v>No</v>
      </c>
      <c r="S391" s="2" t="s">
        <v>480</v>
      </c>
    </row>
    <row r="392" spans="1:21" ht="13.5" customHeight="1" x14ac:dyDescent="0.2">
      <c r="A392" s="2" t="s">
        <v>395</v>
      </c>
      <c r="C392" s="10" t="str" cm="1">
        <f t="array" ref="C392">_xlfn.IFS(S392 = Modules!$A$2,Modules!$B$2,S392 = Modules!$A$3,Modules!$B$3,S392 = Modules!$A$4,Modules!$B$4,S392 = Modules!$A$5,Modules!$B$5,S392 = Modules!$A$6,Modules!$B$6,S392 = Modules!$A$7,Modules!$B$7,S392 = Modules!$A$8,Modules!$B$8,S392 = Modules!$A$9,Modules!$B$9,S392 = Modules!$A$10,Modules!$B$10,S392 = Modules!$A$11,Modules!$B$11,S392 = Modules!$A$12,Modules!$B$12, S392 = Modules!$A$13,Modules!$B$13)</f>
        <v>y</v>
      </c>
      <c r="D392" s="2" t="s">
        <v>1232</v>
      </c>
      <c r="E392" s="2" t="s">
        <v>1179</v>
      </c>
      <c r="F392" s="2" t="s">
        <v>580</v>
      </c>
      <c r="I392" s="2" t="s">
        <v>1388</v>
      </c>
      <c r="J392" s="10" t="str">
        <f t="shared" si="12"/>
        <v>yMiscPersGrossMonthL3</v>
      </c>
      <c r="K392" s="2" t="s">
        <v>501</v>
      </c>
      <c r="L392" s="2" t="s">
        <v>334</v>
      </c>
      <c r="M392" s="10" t="str">
        <f t="shared" si="13"/>
        <v>No</v>
      </c>
      <c r="S392" s="2" t="s">
        <v>480</v>
      </c>
    </row>
    <row r="397" spans="1:21" ht="13.5" customHeight="1" x14ac:dyDescent="0.2">
      <c r="C397" s="10"/>
      <c r="J397" s="10"/>
      <c r="Q397" s="6"/>
      <c r="S397" s="6"/>
    </row>
  </sheetData>
  <autoFilter ref="A1:T392" xr:uid="{00000000-0001-0000-0000-000000000000}"/>
  <sortState xmlns:xlrd2="http://schemas.microsoft.com/office/spreadsheetml/2017/richdata2" ref="A2:V397">
    <sortCondition ref="A1:A397"/>
  </sortState>
  <phoneticPr fontId="9" type="noConversion"/>
  <hyperlinks>
    <hyperlink ref="K230" r:id="rId1" xr:uid="{5A2672B5-4A05-1445-A297-53F0EEB664A9}"/>
    <hyperlink ref="U287" r:id="rId2" xr:uid="{40F8596E-66DF-1F43-AA37-D33D18A20B00}"/>
    <hyperlink ref="U292" r:id="rId3" xr:uid="{6022756C-0051-FB47-9CAD-CD0F04E9965B}"/>
  </hyperlinks>
  <pageMargins left="0.7" right="0.7" top="0.75" bottom="0.75" header="0.3" footer="0.3"/>
  <pageSetup paperSize="9" orientation="portrait" horizontalDpi="4294967294" verticalDpi="4294967294"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AF5F-346B-2C4E-A8DC-AF22A73A09FC}">
  <dimension ref="A1:C18"/>
  <sheetViews>
    <sheetView zoomScale="120" zoomScaleNormal="120" workbookViewId="0"/>
  </sheetViews>
  <sheetFormatPr baseColWidth="10" defaultColWidth="10.6640625" defaultRowHeight="15" x14ac:dyDescent="0.2"/>
  <cols>
    <col min="1" max="1" width="53.6640625" bestFit="1" customWidth="1"/>
  </cols>
  <sheetData>
    <row r="1" spans="1:3" x14ac:dyDescent="0.2">
      <c r="A1" t="s">
        <v>1234</v>
      </c>
    </row>
    <row r="2" spans="1:3" x14ac:dyDescent="0.2">
      <c r="A2" t="s">
        <v>1003</v>
      </c>
    </row>
    <row r="3" spans="1:3" x14ac:dyDescent="0.2">
      <c r="A3" t="s">
        <v>1025</v>
      </c>
    </row>
    <row r="4" spans="1:3" x14ac:dyDescent="0.2">
      <c r="A4" t="s">
        <v>970</v>
      </c>
    </row>
    <row r="5" spans="1:3" x14ac:dyDescent="0.2">
      <c r="A5" t="s">
        <v>1026</v>
      </c>
    </row>
    <row r="6" spans="1:3" x14ac:dyDescent="0.2">
      <c r="A6" t="s">
        <v>969</v>
      </c>
    </row>
    <row r="7" spans="1:3" x14ac:dyDescent="0.2">
      <c r="A7" t="s">
        <v>1038</v>
      </c>
    </row>
    <row r="8" spans="1:3" x14ac:dyDescent="0.2">
      <c r="B8" t="s">
        <v>541</v>
      </c>
      <c r="C8" t="s">
        <v>542</v>
      </c>
    </row>
    <row r="9" spans="1:3" x14ac:dyDescent="0.2">
      <c r="B9" t="s">
        <v>981</v>
      </c>
      <c r="C9" t="s">
        <v>982</v>
      </c>
    </row>
    <row r="10" spans="1:3" x14ac:dyDescent="0.2">
      <c r="B10" t="s">
        <v>983</v>
      </c>
      <c r="C10" t="s">
        <v>985</v>
      </c>
    </row>
    <row r="11" spans="1:3" x14ac:dyDescent="0.2">
      <c r="B11" t="s">
        <v>984</v>
      </c>
      <c r="C11" t="s">
        <v>986</v>
      </c>
    </row>
    <row r="12" spans="1:3" x14ac:dyDescent="0.2">
      <c r="B12" t="s">
        <v>987</v>
      </c>
      <c r="C12" t="s">
        <v>1006</v>
      </c>
    </row>
    <row r="13" spans="1:3" x14ac:dyDescent="0.2">
      <c r="B13" t="s">
        <v>916</v>
      </c>
      <c r="C13" t="s">
        <v>1005</v>
      </c>
    </row>
    <row r="14" spans="1:3" x14ac:dyDescent="0.2">
      <c r="B14" t="s">
        <v>913</v>
      </c>
      <c r="C14" t="s">
        <v>1014</v>
      </c>
    </row>
    <row r="15" spans="1:3" x14ac:dyDescent="0.2">
      <c r="B15" t="s">
        <v>1053</v>
      </c>
      <c r="C15" t="s">
        <v>1010</v>
      </c>
    </row>
    <row r="16" spans="1:3" x14ac:dyDescent="0.2">
      <c r="B16" t="s">
        <v>1048</v>
      </c>
      <c r="C16" t="s">
        <v>1054</v>
      </c>
    </row>
    <row r="17" spans="1:3" x14ac:dyDescent="0.2">
      <c r="A17" t="s">
        <v>1039</v>
      </c>
    </row>
    <row r="18" spans="1:3" x14ac:dyDescent="0.2">
      <c r="B18" t="s">
        <v>1019</v>
      </c>
      <c r="C18" t="s">
        <v>1020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4C4E-CF98-7145-A568-117F85269B33}">
  <dimension ref="A1:B13"/>
  <sheetViews>
    <sheetView zoomScale="120" zoomScaleNormal="120" workbookViewId="0">
      <pane ySplit="1" topLeftCell="A2" activePane="bottomLeft" state="frozen"/>
      <selection pane="bottomLeft"/>
    </sheetView>
  </sheetViews>
  <sheetFormatPr baseColWidth="10" defaultColWidth="10.6640625" defaultRowHeight="15" x14ac:dyDescent="0.2"/>
  <cols>
    <col min="1" max="1" width="24.6640625" bestFit="1" customWidth="1"/>
  </cols>
  <sheetData>
    <row r="1" spans="1:2" x14ac:dyDescent="0.2">
      <c r="A1" s="11" t="s">
        <v>977</v>
      </c>
      <c r="B1" s="11" t="s">
        <v>976</v>
      </c>
    </row>
    <row r="2" spans="1:2" x14ac:dyDescent="0.2">
      <c r="A2" t="s">
        <v>975</v>
      </c>
      <c r="B2" t="s">
        <v>978</v>
      </c>
    </row>
    <row r="3" spans="1:2" x14ac:dyDescent="0.2">
      <c r="A3" t="s">
        <v>544</v>
      </c>
      <c r="B3" t="s">
        <v>979</v>
      </c>
    </row>
    <row r="4" spans="1:2" x14ac:dyDescent="0.2">
      <c r="A4" t="s">
        <v>531</v>
      </c>
      <c r="B4" t="s">
        <v>532</v>
      </c>
    </row>
    <row r="5" spans="1:2" x14ac:dyDescent="0.2">
      <c r="A5" t="s">
        <v>971</v>
      </c>
      <c r="B5" t="s">
        <v>590</v>
      </c>
    </row>
    <row r="6" spans="1:2" x14ac:dyDescent="0.2">
      <c r="A6" t="s">
        <v>475</v>
      </c>
      <c r="B6" t="s">
        <v>915</v>
      </c>
    </row>
    <row r="7" spans="1:2" x14ac:dyDescent="0.2">
      <c r="A7" t="s">
        <v>480</v>
      </c>
      <c r="B7" t="s">
        <v>562</v>
      </c>
    </row>
    <row r="8" spans="1:2" x14ac:dyDescent="0.2">
      <c r="A8" t="s">
        <v>595</v>
      </c>
      <c r="B8" t="s">
        <v>563</v>
      </c>
    </row>
    <row r="9" spans="1:2" x14ac:dyDescent="0.2">
      <c r="A9" t="s">
        <v>973</v>
      </c>
      <c r="B9" t="s">
        <v>534</v>
      </c>
    </row>
    <row r="10" spans="1:2" x14ac:dyDescent="0.2">
      <c r="A10" t="s">
        <v>974</v>
      </c>
      <c r="B10" t="s">
        <v>980</v>
      </c>
    </row>
    <row r="11" spans="1:2" x14ac:dyDescent="0.2">
      <c r="A11" t="s">
        <v>478</v>
      </c>
      <c r="B11" t="s">
        <v>558</v>
      </c>
    </row>
    <row r="12" spans="1:2" x14ac:dyDescent="0.2">
      <c r="A12" t="s">
        <v>457</v>
      </c>
      <c r="B12" t="s">
        <v>526</v>
      </c>
    </row>
    <row r="13" spans="1:2" x14ac:dyDescent="0.2">
      <c r="A13" t="s">
        <v>508</v>
      </c>
      <c r="B13" t="s">
        <v>527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8BCE-70D7-4445-92FD-5B5A63C25596}">
  <dimension ref="A1:B79"/>
  <sheetViews>
    <sheetView zoomScale="120" zoomScaleNormal="120" workbookViewId="0">
      <pane ySplit="1" topLeftCell="A53" activePane="bottomLeft" state="frozen"/>
      <selection pane="bottomLeft" activeCell="B75" sqref="B75"/>
    </sheetView>
  </sheetViews>
  <sheetFormatPr baseColWidth="10" defaultColWidth="10.6640625" defaultRowHeight="15" x14ac:dyDescent="0.2"/>
  <cols>
    <col min="1" max="1" width="18.5" bestFit="1" customWidth="1"/>
    <col min="2" max="2" width="12.1640625" bestFit="1" customWidth="1"/>
  </cols>
  <sheetData>
    <row r="1" spans="1:2" x14ac:dyDescent="0.2">
      <c r="A1" s="11" t="s">
        <v>967</v>
      </c>
      <c r="B1" s="11" t="s">
        <v>968</v>
      </c>
    </row>
    <row r="2" spans="1:2" x14ac:dyDescent="0.2">
      <c r="A2" t="s">
        <v>555</v>
      </c>
      <c r="B2" s="12" t="s">
        <v>994</v>
      </c>
    </row>
    <row r="3" spans="1:2" x14ac:dyDescent="0.2">
      <c r="A3" t="s">
        <v>956</v>
      </c>
      <c r="B3" t="s">
        <v>957</v>
      </c>
    </row>
    <row r="4" spans="1:2" x14ac:dyDescent="0.2">
      <c r="A4" t="s">
        <v>468</v>
      </c>
      <c r="B4" t="s">
        <v>530</v>
      </c>
    </row>
    <row r="5" spans="1:2" x14ac:dyDescent="0.2">
      <c r="A5" t="s">
        <v>1400</v>
      </c>
      <c r="B5" t="s">
        <v>1401</v>
      </c>
    </row>
    <row r="6" spans="1:2" x14ac:dyDescent="0.2">
      <c r="A6" t="s">
        <v>564</v>
      </c>
      <c r="B6" t="s">
        <v>565</v>
      </c>
    </row>
    <row r="7" spans="1:2" x14ac:dyDescent="0.2">
      <c r="A7" t="s">
        <v>988</v>
      </c>
      <c r="B7" t="s">
        <v>989</v>
      </c>
    </row>
    <row r="8" spans="1:2" x14ac:dyDescent="0.2">
      <c r="A8" t="s">
        <v>539</v>
      </c>
      <c r="B8" t="s">
        <v>540</v>
      </c>
    </row>
    <row r="9" spans="1:2" x14ac:dyDescent="0.2">
      <c r="A9" t="s">
        <v>960</v>
      </c>
      <c r="B9" s="12" t="s">
        <v>990</v>
      </c>
    </row>
    <row r="10" spans="1:2" x14ac:dyDescent="0.2">
      <c r="A10" t="s">
        <v>1113</v>
      </c>
      <c r="B10" s="12" t="s">
        <v>1114</v>
      </c>
    </row>
    <row r="11" spans="1:2" x14ac:dyDescent="0.2">
      <c r="A11" t="s">
        <v>600</v>
      </c>
      <c r="B11" t="s">
        <v>991</v>
      </c>
    </row>
    <row r="12" spans="1:2" x14ac:dyDescent="0.2">
      <c r="A12" t="s">
        <v>906</v>
      </c>
      <c r="B12" t="s">
        <v>907</v>
      </c>
    </row>
    <row r="13" spans="1:2" x14ac:dyDescent="0.2">
      <c r="A13" t="s">
        <v>950</v>
      </c>
      <c r="B13" t="s">
        <v>951</v>
      </c>
    </row>
    <row r="14" spans="1:2" x14ac:dyDescent="0.2">
      <c r="A14" t="s">
        <v>917</v>
      </c>
      <c r="B14" t="s">
        <v>918</v>
      </c>
    </row>
    <row r="15" spans="1:2" x14ac:dyDescent="0.2">
      <c r="A15" t="s">
        <v>547</v>
      </c>
      <c r="B15" t="s">
        <v>992</v>
      </c>
    </row>
    <row r="16" spans="1:2" x14ac:dyDescent="0.2">
      <c r="A16" t="s">
        <v>574</v>
      </c>
      <c r="B16" t="s">
        <v>575</v>
      </c>
    </row>
    <row r="17" spans="1:2" x14ac:dyDescent="0.2">
      <c r="A17" t="s">
        <v>914</v>
      </c>
      <c r="B17" t="s">
        <v>993</v>
      </c>
    </row>
    <row r="18" spans="1:2" x14ac:dyDescent="0.2">
      <c r="A18" t="s">
        <v>566</v>
      </c>
      <c r="B18" t="s">
        <v>567</v>
      </c>
    </row>
    <row r="19" spans="1:2" x14ac:dyDescent="0.2">
      <c r="A19" t="s">
        <v>596</v>
      </c>
      <c r="B19" t="s">
        <v>597</v>
      </c>
    </row>
    <row r="20" spans="1:2" x14ac:dyDescent="0.2">
      <c r="A20" t="s">
        <v>958</v>
      </c>
      <c r="B20" s="12" t="s">
        <v>994</v>
      </c>
    </row>
    <row r="21" spans="1:2" x14ac:dyDescent="0.2">
      <c r="A21" t="s">
        <v>459</v>
      </c>
      <c r="B21" t="s">
        <v>995</v>
      </c>
    </row>
    <row r="22" spans="1:2" x14ac:dyDescent="0.2">
      <c r="A22" t="s">
        <v>599</v>
      </c>
      <c r="B22" t="s">
        <v>996</v>
      </c>
    </row>
    <row r="23" spans="1:2" x14ac:dyDescent="0.2">
      <c r="A23" t="s">
        <v>586</v>
      </c>
      <c r="B23" t="s">
        <v>587</v>
      </c>
    </row>
    <row r="24" spans="1:2" x14ac:dyDescent="0.2">
      <c r="A24" t="s">
        <v>572</v>
      </c>
      <c r="B24" t="s">
        <v>573</v>
      </c>
    </row>
    <row r="25" spans="1:2" x14ac:dyDescent="0.2">
      <c r="A25" t="s">
        <v>528</v>
      </c>
      <c r="B25" t="s">
        <v>529</v>
      </c>
    </row>
    <row r="26" spans="1:2" x14ac:dyDescent="0.2">
      <c r="A26" t="s">
        <v>580</v>
      </c>
      <c r="B26" t="s">
        <v>581</v>
      </c>
    </row>
    <row r="27" spans="1:2" x14ac:dyDescent="0.2">
      <c r="A27" t="s">
        <v>1199</v>
      </c>
      <c r="B27" t="s">
        <v>1200</v>
      </c>
    </row>
    <row r="28" spans="1:2" x14ac:dyDescent="0.2">
      <c r="A28" t="s">
        <v>553</v>
      </c>
      <c r="B28" t="s">
        <v>554</v>
      </c>
    </row>
    <row r="29" spans="1:2" x14ac:dyDescent="0.2">
      <c r="A29" t="s">
        <v>947</v>
      </c>
      <c r="B29" t="s">
        <v>997</v>
      </c>
    </row>
    <row r="30" spans="1:2" x14ac:dyDescent="0.2">
      <c r="A30" t="s">
        <v>592</v>
      </c>
      <c r="B30" t="s">
        <v>998</v>
      </c>
    </row>
    <row r="31" spans="1:2" x14ac:dyDescent="0.2">
      <c r="A31" t="s">
        <v>944</v>
      </c>
      <c r="B31" t="s">
        <v>999</v>
      </c>
    </row>
    <row r="32" spans="1:2" x14ac:dyDescent="0.2">
      <c r="A32" t="s">
        <v>458</v>
      </c>
      <c r="B32" t="s">
        <v>561</v>
      </c>
    </row>
    <row r="33" spans="1:2" x14ac:dyDescent="0.2">
      <c r="A33" t="s">
        <v>524</v>
      </c>
      <c r="B33" t="s">
        <v>526</v>
      </c>
    </row>
    <row r="34" spans="1:2" x14ac:dyDescent="0.2">
      <c r="A34" t="s">
        <v>904</v>
      </c>
      <c r="B34" t="s">
        <v>905</v>
      </c>
    </row>
    <row r="35" spans="1:2" x14ac:dyDescent="0.2">
      <c r="A35" t="s">
        <v>570</v>
      </c>
      <c r="B35" t="s">
        <v>571</v>
      </c>
    </row>
    <row r="36" spans="1:2" x14ac:dyDescent="0.2">
      <c r="A36" t="s">
        <v>584</v>
      </c>
      <c r="B36" t="s">
        <v>585</v>
      </c>
    </row>
    <row r="37" spans="1:2" x14ac:dyDescent="0.2">
      <c r="A37" t="s">
        <v>556</v>
      </c>
      <c r="B37" t="s">
        <v>557</v>
      </c>
    </row>
    <row r="38" spans="1:2" x14ac:dyDescent="0.2">
      <c r="A38" t="s">
        <v>908</v>
      </c>
      <c r="B38" t="s">
        <v>909</v>
      </c>
    </row>
    <row r="39" spans="1:2" x14ac:dyDescent="0.2">
      <c r="A39" t="s">
        <v>598</v>
      </c>
      <c r="B39" t="s">
        <v>1000</v>
      </c>
    </row>
    <row r="40" spans="1:2" x14ac:dyDescent="0.2">
      <c r="A40" t="s">
        <v>543</v>
      </c>
      <c r="B40" s="12" t="s">
        <v>990</v>
      </c>
    </row>
    <row r="41" spans="1:2" x14ac:dyDescent="0.2">
      <c r="A41" t="s">
        <v>1166</v>
      </c>
      <c r="B41" s="12" t="s">
        <v>1167</v>
      </c>
    </row>
    <row r="42" spans="1:2" x14ac:dyDescent="0.2">
      <c r="A42" t="s">
        <v>972</v>
      </c>
      <c r="B42" t="s">
        <v>1001</v>
      </c>
    </row>
    <row r="43" spans="1:2" x14ac:dyDescent="0.2">
      <c r="A43" t="s">
        <v>578</v>
      </c>
      <c r="B43" t="s">
        <v>579</v>
      </c>
    </row>
    <row r="44" spans="1:2" x14ac:dyDescent="0.2">
      <c r="A44" t="s">
        <v>460</v>
      </c>
      <c r="B44" t="s">
        <v>1002</v>
      </c>
    </row>
    <row r="45" spans="1:2" x14ac:dyDescent="0.2">
      <c r="A45" t="s">
        <v>1163</v>
      </c>
      <c r="B45" t="s">
        <v>1164</v>
      </c>
    </row>
    <row r="46" spans="1:2" x14ac:dyDescent="0.2">
      <c r="A46" t="s">
        <v>582</v>
      </c>
      <c r="B46" t="s">
        <v>583</v>
      </c>
    </row>
    <row r="47" spans="1:2" x14ac:dyDescent="0.2">
      <c r="A47" t="s">
        <v>1417</v>
      </c>
      <c r="B47" t="s">
        <v>1418</v>
      </c>
    </row>
    <row r="48" spans="1:2" x14ac:dyDescent="0.2">
      <c r="A48" t="s">
        <v>551</v>
      </c>
      <c r="B48" t="s">
        <v>552</v>
      </c>
    </row>
    <row r="49" spans="1:2" x14ac:dyDescent="0.2">
      <c r="A49" t="s">
        <v>545</v>
      </c>
      <c r="B49" t="s">
        <v>546</v>
      </c>
    </row>
    <row r="50" spans="1:2" x14ac:dyDescent="0.2">
      <c r="A50" t="s">
        <v>549</v>
      </c>
      <c r="B50" t="s">
        <v>550</v>
      </c>
    </row>
    <row r="51" spans="1:2" x14ac:dyDescent="0.2">
      <c r="A51" t="s">
        <v>559</v>
      </c>
      <c r="B51" t="s">
        <v>560</v>
      </c>
    </row>
    <row r="52" spans="1:2" x14ac:dyDescent="0.2">
      <c r="A52" t="s">
        <v>954</v>
      </c>
      <c r="B52" t="s">
        <v>955</v>
      </c>
    </row>
    <row r="53" spans="1:2" x14ac:dyDescent="0.2">
      <c r="A53" t="s">
        <v>1008</v>
      </c>
      <c r="B53" s="12" t="s">
        <v>1007</v>
      </c>
    </row>
    <row r="54" spans="1:2" x14ac:dyDescent="0.2">
      <c r="A54" t="s">
        <v>569</v>
      </c>
      <c r="B54" t="s">
        <v>1009</v>
      </c>
    </row>
    <row r="55" spans="1:2" x14ac:dyDescent="0.2">
      <c r="A55" t="s">
        <v>948</v>
      </c>
      <c r="B55" t="s">
        <v>949</v>
      </c>
    </row>
    <row r="56" spans="1:2" x14ac:dyDescent="0.2">
      <c r="A56" t="s">
        <v>1427</v>
      </c>
      <c r="B56" t="s">
        <v>1428</v>
      </c>
    </row>
    <row r="57" spans="1:2" x14ac:dyDescent="0.2">
      <c r="A57" t="s">
        <v>952</v>
      </c>
      <c r="B57" t="s">
        <v>1010</v>
      </c>
    </row>
    <row r="58" spans="1:2" x14ac:dyDescent="0.2">
      <c r="A58" t="s">
        <v>538</v>
      </c>
      <c r="B58" t="s">
        <v>537</v>
      </c>
    </row>
    <row r="59" spans="1:2" x14ac:dyDescent="0.2">
      <c r="A59" t="s">
        <v>1421</v>
      </c>
      <c r="B59" t="s">
        <v>1422</v>
      </c>
    </row>
    <row r="60" spans="1:2" x14ac:dyDescent="0.2">
      <c r="A60" t="s">
        <v>525</v>
      </c>
      <c r="B60" t="s">
        <v>1011</v>
      </c>
    </row>
    <row r="61" spans="1:2" x14ac:dyDescent="0.2">
      <c r="A61" t="s">
        <v>593</v>
      </c>
      <c r="B61" t="s">
        <v>594</v>
      </c>
    </row>
    <row r="62" spans="1:2" x14ac:dyDescent="0.2">
      <c r="A62" t="s">
        <v>548</v>
      </c>
      <c r="B62" t="s">
        <v>1013</v>
      </c>
    </row>
    <row r="63" spans="1:2" x14ac:dyDescent="0.2">
      <c r="A63" t="s">
        <v>941</v>
      </c>
      <c r="B63" t="s">
        <v>1012</v>
      </c>
    </row>
    <row r="64" spans="1:2" x14ac:dyDescent="0.2">
      <c r="A64" t="s">
        <v>1137</v>
      </c>
      <c r="B64" t="s">
        <v>1138</v>
      </c>
    </row>
    <row r="65" spans="1:2" x14ac:dyDescent="0.2">
      <c r="A65" t="s">
        <v>959</v>
      </c>
      <c r="B65" t="s">
        <v>953</v>
      </c>
    </row>
    <row r="66" spans="1:2" x14ac:dyDescent="0.2">
      <c r="A66" t="s">
        <v>965</v>
      </c>
      <c r="B66" t="s">
        <v>1018</v>
      </c>
    </row>
    <row r="67" spans="1:2" x14ac:dyDescent="0.2">
      <c r="A67" t="s">
        <v>588</v>
      </c>
      <c r="B67" t="s">
        <v>589</v>
      </c>
    </row>
    <row r="68" spans="1:2" x14ac:dyDescent="0.2">
      <c r="A68" t="s">
        <v>533</v>
      </c>
      <c r="B68" s="12" t="s">
        <v>1004</v>
      </c>
    </row>
    <row r="69" spans="1:2" x14ac:dyDescent="0.2">
      <c r="A69" t="s">
        <v>945</v>
      </c>
      <c r="B69" t="s">
        <v>946</v>
      </c>
    </row>
    <row r="70" spans="1:2" x14ac:dyDescent="0.2">
      <c r="A70" t="s">
        <v>1023</v>
      </c>
      <c r="B70" t="s">
        <v>1024</v>
      </c>
    </row>
    <row r="71" spans="1:2" x14ac:dyDescent="0.2">
      <c r="A71" t="s">
        <v>568</v>
      </c>
      <c r="B71" t="s">
        <v>168</v>
      </c>
    </row>
    <row r="72" spans="1:2" x14ac:dyDescent="0.2">
      <c r="A72" t="s">
        <v>963</v>
      </c>
      <c r="B72" t="s">
        <v>964</v>
      </c>
    </row>
    <row r="73" spans="1:2" x14ac:dyDescent="0.2">
      <c r="A73" t="s">
        <v>478</v>
      </c>
      <c r="B73" t="s">
        <v>558</v>
      </c>
    </row>
    <row r="74" spans="1:2" x14ac:dyDescent="0.2">
      <c r="A74" t="s">
        <v>1237</v>
      </c>
      <c r="B74" t="s">
        <v>1238</v>
      </c>
    </row>
    <row r="75" spans="1:2" x14ac:dyDescent="0.2">
      <c r="A75" t="s">
        <v>508</v>
      </c>
      <c r="B75" t="s">
        <v>527</v>
      </c>
    </row>
    <row r="76" spans="1:2" x14ac:dyDescent="0.2">
      <c r="A76" t="s">
        <v>535</v>
      </c>
      <c r="B76" t="s">
        <v>536</v>
      </c>
    </row>
    <row r="77" spans="1:2" x14ac:dyDescent="0.2">
      <c r="A77" t="s">
        <v>943</v>
      </c>
      <c r="B77" t="s">
        <v>591</v>
      </c>
    </row>
    <row r="78" spans="1:2" x14ac:dyDescent="0.2">
      <c r="A78" t="s">
        <v>1016</v>
      </c>
      <c r="B78" t="s">
        <v>577</v>
      </c>
    </row>
    <row r="79" spans="1:2" x14ac:dyDescent="0.2">
      <c r="A79" t="s">
        <v>576</v>
      </c>
      <c r="B79" t="s">
        <v>1017</v>
      </c>
    </row>
  </sheetData>
  <sortState xmlns:xlrd2="http://schemas.microsoft.com/office/spreadsheetml/2017/richdata2" ref="A2:B79">
    <sortCondition ref="A2:A7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9F84-CAD4-1E4A-8D92-207C34DC1B96}">
  <dimension ref="A1:D4"/>
  <sheetViews>
    <sheetView zoomScale="120" zoomScaleNormal="120" workbookViewId="0">
      <pane ySplit="1" topLeftCell="A2" activePane="bottomLeft" state="frozen"/>
      <selection pane="bottomLeft"/>
    </sheetView>
  </sheetViews>
  <sheetFormatPr baseColWidth="10" defaultColWidth="10.6640625" defaultRowHeight="15" x14ac:dyDescent="0.2"/>
  <cols>
    <col min="1" max="1" width="9.33203125" bestFit="1" customWidth="1"/>
    <col min="2" max="2" width="20.83203125" bestFit="1" customWidth="1"/>
    <col min="4" max="4" width="10.1640625" bestFit="1" customWidth="1"/>
  </cols>
  <sheetData>
    <row r="1" spans="1:4" s="11" customFormat="1" x14ac:dyDescent="0.2">
      <c r="A1" s="11" t="s">
        <v>910</v>
      </c>
      <c r="B1" s="11" t="s">
        <v>911</v>
      </c>
    </row>
    <row r="2" spans="1:4" x14ac:dyDescent="0.2">
      <c r="A2" t="s">
        <v>452</v>
      </c>
      <c r="B2" t="s">
        <v>1029</v>
      </c>
    </row>
    <row r="3" spans="1:4" x14ac:dyDescent="0.2">
      <c r="A3" t="s">
        <v>454</v>
      </c>
      <c r="B3" t="s">
        <v>912</v>
      </c>
    </row>
    <row r="4" spans="1:4" x14ac:dyDescent="0.2">
      <c r="A4" t="s">
        <v>453</v>
      </c>
      <c r="B4" t="s">
        <v>1028</v>
      </c>
      <c r="D4" t="s">
        <v>1030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03F8-511D-BE4D-90A0-672A1DD2F38E}">
  <dimension ref="A1:C7"/>
  <sheetViews>
    <sheetView zoomScale="120" zoomScaleNormal="120" workbookViewId="0"/>
  </sheetViews>
  <sheetFormatPr baseColWidth="10" defaultColWidth="11.5" defaultRowHeight="15" x14ac:dyDescent="0.2"/>
  <cols>
    <col min="1" max="1" width="21.83203125" bestFit="1" customWidth="1"/>
    <col min="3" max="3" width="37.33203125" customWidth="1"/>
  </cols>
  <sheetData>
    <row r="1" spans="1:3" x14ac:dyDescent="0.2">
      <c r="A1" s="11" t="s">
        <v>1365</v>
      </c>
    </row>
    <row r="2" spans="1:3" x14ac:dyDescent="0.2">
      <c r="A2" s="11" t="s">
        <v>1371</v>
      </c>
    </row>
    <row r="3" spans="1:3" ht="208" x14ac:dyDescent="0.2">
      <c r="B3" s="16" t="s">
        <v>1366</v>
      </c>
      <c r="C3" s="6" t="s">
        <v>731</v>
      </c>
    </row>
    <row r="4" spans="1:3" ht="96" x14ac:dyDescent="0.2">
      <c r="B4" s="16" t="s">
        <v>1367</v>
      </c>
      <c r="C4" s="13" t="s">
        <v>1374</v>
      </c>
    </row>
    <row r="5" spans="1:3" ht="96" x14ac:dyDescent="0.2">
      <c r="B5" s="16" t="s">
        <v>1368</v>
      </c>
      <c r="C5" s="13" t="s">
        <v>1373</v>
      </c>
    </row>
    <row r="6" spans="1:3" ht="64" x14ac:dyDescent="0.2">
      <c r="B6" s="16" t="s">
        <v>1369</v>
      </c>
      <c r="C6" s="13" t="s">
        <v>1375</v>
      </c>
    </row>
    <row r="7" spans="1:3" ht="64" x14ac:dyDescent="0.2">
      <c r="B7" s="16" t="s">
        <v>1370</v>
      </c>
      <c r="C7" s="13" t="s">
        <v>1376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Variables</vt:lpstr>
      <vt:lpstr>Rules</vt:lpstr>
      <vt:lpstr>Modules</vt:lpstr>
      <vt:lpstr>Abbreviations</vt:lpstr>
      <vt:lpstr>Coding Style</vt:lpstr>
      <vt:lpstr>Country Specific Vars</vt:lpstr>
    </vt:vector>
  </TitlesOfParts>
  <Company>ISER, Essex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Booker, Cara L</dc:creator>
  <cp:lastModifiedBy>David Sonnewald</cp:lastModifiedBy>
  <dcterms:created xsi:type="dcterms:W3CDTF">2020-01-09T14:45:14Z</dcterms:created>
  <dcterms:modified xsi:type="dcterms:W3CDTF">2025-12-15T00:18:33Z</dcterms:modified>
</cp:coreProperties>
</file>