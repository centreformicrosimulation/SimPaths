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EC765B5D-0135-0F49-8899-A3930868D78E}" xr6:coauthVersionLast="47" xr6:coauthVersionMax="47" xr10:uidLastSave="{00000000-0000-0000-0000-000000000000}"/>
  <bookViews>
    <workbookView xWindow="0" yWindow="600" windowWidth="29040" windowHeight="15840" activeTab="6" xr2:uid="{00000000-000D-0000-FFFF-FFFF00000000}"/>
  </bookViews>
  <sheets>
    <sheet name="R1a_comp" sheetId="7" r:id="rId1"/>
    <sheet name="R1b_comp" sheetId="8" r:id="rId2"/>
    <sheet name="Info" sheetId="1" r:id="rId3"/>
    <sheet name="Gof" sheetId="2" r:id="rId4"/>
    <sheet name="R1a_orig" sheetId="3" r:id="rId5"/>
    <sheet name="R1b_orig" sheetId="4" r:id="rId6"/>
    <sheet name="R1a" sheetId="5" r:id="rId7"/>
    <sheet name="R1b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8" l="1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E36" i="8"/>
  <c r="D36" i="8"/>
  <c r="B36" i="8"/>
  <c r="A36" i="8"/>
  <c r="E35" i="8"/>
  <c r="D35" i="8"/>
  <c r="B35" i="8"/>
  <c r="A35" i="8"/>
  <c r="E34" i="8"/>
  <c r="D34" i="8"/>
  <c r="B34" i="8"/>
  <c r="A34" i="8"/>
  <c r="E33" i="8"/>
  <c r="D33" i="8"/>
  <c r="B33" i="8"/>
  <c r="A33" i="8"/>
  <c r="E32" i="8"/>
  <c r="D32" i="8"/>
  <c r="B32" i="8"/>
  <c r="A32" i="8"/>
  <c r="E31" i="8"/>
  <c r="D31" i="8"/>
  <c r="B31" i="8"/>
  <c r="A31" i="8"/>
  <c r="E30" i="8"/>
  <c r="D30" i="8"/>
  <c r="B30" i="8"/>
  <c r="A30" i="8"/>
  <c r="E29" i="8"/>
  <c r="D29" i="8"/>
  <c r="B29" i="8"/>
  <c r="A29" i="8"/>
  <c r="E28" i="8"/>
  <c r="D28" i="8"/>
  <c r="B28" i="8"/>
  <c r="A28" i="8"/>
  <c r="E27" i="8"/>
  <c r="D27" i="8"/>
  <c r="B27" i="8"/>
  <c r="A27" i="8"/>
  <c r="E26" i="8"/>
  <c r="D26" i="8"/>
  <c r="B26" i="8"/>
  <c r="A26" i="8"/>
  <c r="E25" i="8"/>
  <c r="D25" i="8"/>
  <c r="B25" i="8"/>
  <c r="A25" i="8"/>
  <c r="E24" i="8"/>
  <c r="D24" i="8"/>
  <c r="B24" i="8"/>
  <c r="A24" i="8"/>
  <c r="E23" i="8"/>
  <c r="D23" i="8"/>
  <c r="B23" i="8"/>
  <c r="A23" i="8"/>
  <c r="E22" i="8"/>
  <c r="D22" i="8"/>
  <c r="B22" i="8"/>
  <c r="A22" i="8"/>
  <c r="E21" i="8"/>
  <c r="D21" i="8"/>
  <c r="B21" i="8"/>
  <c r="A21" i="8"/>
  <c r="E20" i="8"/>
  <c r="D20" i="8"/>
  <c r="B20" i="8"/>
  <c r="A20" i="8"/>
  <c r="E19" i="8"/>
  <c r="D19" i="8"/>
  <c r="B19" i="8"/>
  <c r="A19" i="8"/>
  <c r="E18" i="8"/>
  <c r="D18" i="8"/>
  <c r="B18" i="8"/>
  <c r="A18" i="8"/>
  <c r="E17" i="8"/>
  <c r="D17" i="8"/>
  <c r="B17" i="8"/>
  <c r="A17" i="8"/>
  <c r="E16" i="8"/>
  <c r="D16" i="8"/>
  <c r="B16" i="8"/>
  <c r="A16" i="8"/>
  <c r="E15" i="8"/>
  <c r="D15" i="8"/>
  <c r="B15" i="8"/>
  <c r="A15" i="8"/>
  <c r="E14" i="8"/>
  <c r="D14" i="8"/>
  <c r="B14" i="8"/>
  <c r="A14" i="8"/>
  <c r="E13" i="8"/>
  <c r="D13" i="8"/>
  <c r="B13" i="8"/>
  <c r="A13" i="8"/>
  <c r="E12" i="8"/>
  <c r="D12" i="8"/>
  <c r="B12" i="8"/>
  <c r="A12" i="8"/>
  <c r="E11" i="8"/>
  <c r="D11" i="8"/>
  <c r="B11" i="8"/>
  <c r="A11" i="8"/>
  <c r="E10" i="8"/>
  <c r="D10" i="8"/>
  <c r="B10" i="8"/>
  <c r="A10" i="8"/>
  <c r="E9" i="8"/>
  <c r="D9" i="8"/>
  <c r="B9" i="8"/>
  <c r="A9" i="8"/>
  <c r="E8" i="8"/>
  <c r="D8" i="8"/>
  <c r="B8" i="8"/>
  <c r="A8" i="8"/>
  <c r="E7" i="8"/>
  <c r="D7" i="8"/>
  <c r="B7" i="8"/>
  <c r="A7" i="8"/>
  <c r="E6" i="8"/>
  <c r="D6" i="8"/>
  <c r="B6" i="8"/>
  <c r="A6" i="8"/>
  <c r="E5" i="8"/>
  <c r="D5" i="8"/>
  <c r="B5" i="8"/>
  <c r="A5" i="8"/>
  <c r="E4" i="8"/>
  <c r="D4" i="8"/>
  <c r="B4" i="8"/>
  <c r="A4" i="8"/>
  <c r="E3" i="8"/>
  <c r="D3" i="8"/>
  <c r="B3" i="8"/>
  <c r="A3" i="8"/>
  <c r="E2" i="8"/>
  <c r="D2" i="8"/>
  <c r="B2" i="8"/>
  <c r="A2" i="8"/>
  <c r="E1" i="8"/>
  <c r="D1" i="8"/>
  <c r="B1" i="8"/>
  <c r="A1" i="8"/>
  <c r="E33" i="7"/>
  <c r="D33" i="7"/>
  <c r="B33" i="7"/>
  <c r="G33" i="7" s="1"/>
  <c r="A33" i="7"/>
  <c r="E32" i="7"/>
  <c r="D32" i="7"/>
  <c r="B32" i="7"/>
  <c r="G32" i="7" s="1"/>
  <c r="A32" i="7"/>
  <c r="E31" i="7"/>
  <c r="G31" i="7" s="1"/>
  <c r="D31" i="7"/>
  <c r="B31" i="7"/>
  <c r="A31" i="7"/>
  <c r="E30" i="7"/>
  <c r="D30" i="7"/>
  <c r="B30" i="7"/>
  <c r="G30" i="7" s="1"/>
  <c r="A30" i="7"/>
  <c r="E29" i="7"/>
  <c r="D29" i="7"/>
  <c r="B29" i="7"/>
  <c r="G29" i="7" s="1"/>
  <c r="A29" i="7"/>
  <c r="E28" i="7"/>
  <c r="D28" i="7"/>
  <c r="B28" i="7"/>
  <c r="G28" i="7" s="1"/>
  <c r="A28" i="7"/>
  <c r="E27" i="7"/>
  <c r="D27" i="7"/>
  <c r="B27" i="7"/>
  <c r="G27" i="7" s="1"/>
  <c r="A27" i="7"/>
  <c r="G26" i="7"/>
  <c r="E26" i="7"/>
  <c r="D26" i="7"/>
  <c r="B26" i="7"/>
  <c r="A26" i="7"/>
  <c r="E25" i="7"/>
  <c r="G25" i="7" s="1"/>
  <c r="D25" i="7"/>
  <c r="B25" i="7"/>
  <c r="A25" i="7"/>
  <c r="E24" i="7"/>
  <c r="G24" i="7" s="1"/>
  <c r="D24" i="7"/>
  <c r="B24" i="7"/>
  <c r="A24" i="7"/>
  <c r="E23" i="7"/>
  <c r="D23" i="7"/>
  <c r="B23" i="7"/>
  <c r="G23" i="7" s="1"/>
  <c r="A23" i="7"/>
  <c r="E22" i="7"/>
  <c r="D22" i="7"/>
  <c r="B22" i="7"/>
  <c r="G22" i="7" s="1"/>
  <c r="A22" i="7"/>
  <c r="E21" i="7"/>
  <c r="D21" i="7"/>
  <c r="B21" i="7"/>
  <c r="G21" i="7" s="1"/>
  <c r="A21" i="7"/>
  <c r="G20" i="7"/>
  <c r="E20" i="7"/>
  <c r="D20" i="7"/>
  <c r="B20" i="7"/>
  <c r="A20" i="7"/>
  <c r="E19" i="7"/>
  <c r="G19" i="7" s="1"/>
  <c r="D19" i="7"/>
  <c r="B19" i="7"/>
  <c r="A19" i="7"/>
  <c r="E18" i="7"/>
  <c r="G18" i="7" s="1"/>
  <c r="D18" i="7"/>
  <c r="B18" i="7"/>
  <c r="A18" i="7"/>
  <c r="E17" i="7"/>
  <c r="D17" i="7"/>
  <c r="B17" i="7"/>
  <c r="G17" i="7" s="1"/>
  <c r="A17" i="7"/>
  <c r="E16" i="7"/>
  <c r="D16" i="7"/>
  <c r="B16" i="7"/>
  <c r="G16" i="7" s="1"/>
  <c r="A16" i="7"/>
  <c r="E15" i="7"/>
  <c r="D15" i="7"/>
  <c r="B15" i="7"/>
  <c r="G15" i="7" s="1"/>
  <c r="A15" i="7"/>
  <c r="G14" i="7"/>
  <c r="E14" i="7"/>
  <c r="D14" i="7"/>
  <c r="B14" i="7"/>
  <c r="A14" i="7"/>
  <c r="E13" i="7"/>
  <c r="G13" i="7" s="1"/>
  <c r="D13" i="7"/>
  <c r="B13" i="7"/>
  <c r="A13" i="7"/>
  <c r="E12" i="7"/>
  <c r="G12" i="7" s="1"/>
  <c r="D12" i="7"/>
  <c r="B12" i="7"/>
  <c r="A12" i="7"/>
  <c r="E11" i="7"/>
  <c r="D11" i="7"/>
  <c r="B11" i="7"/>
  <c r="G11" i="7" s="1"/>
  <c r="A11" i="7"/>
  <c r="E10" i="7"/>
  <c r="D10" i="7"/>
  <c r="B10" i="7"/>
  <c r="G10" i="7" s="1"/>
  <c r="A10" i="7"/>
  <c r="E9" i="7"/>
  <c r="D9" i="7"/>
  <c r="B9" i="7"/>
  <c r="G9" i="7" s="1"/>
  <c r="A9" i="7"/>
  <c r="G8" i="7"/>
  <c r="E8" i="7"/>
  <c r="D8" i="7"/>
  <c r="B8" i="7"/>
  <c r="A8" i="7"/>
  <c r="E7" i="7"/>
  <c r="G7" i="7" s="1"/>
  <c r="D7" i="7"/>
  <c r="B7" i="7"/>
  <c r="A7" i="7"/>
  <c r="E6" i="7"/>
  <c r="G6" i="7" s="1"/>
  <c r="D6" i="7"/>
  <c r="B6" i="7"/>
  <c r="A6" i="7"/>
  <c r="E5" i="7"/>
  <c r="D5" i="7"/>
  <c r="B5" i="7"/>
  <c r="G5" i="7" s="1"/>
  <c r="A5" i="7"/>
  <c r="E4" i="7"/>
  <c r="D4" i="7"/>
  <c r="B4" i="7"/>
  <c r="G4" i="7" s="1"/>
  <c r="A4" i="7"/>
  <c r="E3" i="7"/>
  <c r="D3" i="7"/>
  <c r="B3" i="7"/>
  <c r="G3" i="7" s="1"/>
  <c r="A3" i="7"/>
  <c r="G2" i="7"/>
  <c r="E2" i="7"/>
  <c r="D2" i="7"/>
  <c r="B2" i="7"/>
  <c r="A2" i="7"/>
  <c r="E1" i="7"/>
  <c r="D1" i="7"/>
  <c r="B1" i="7"/>
  <c r="A1" i="7"/>
</calcChain>
</file>

<file path=xl/sharedStrings.xml><?xml version="1.0" encoding="utf-8"?>
<sst xmlns="http://schemas.openxmlformats.org/spreadsheetml/2006/main" count="303" uniqueCount="78">
  <si>
    <t>Description:</t>
  </si>
  <si>
    <t>Model parameters governing projection of retirement</t>
  </si>
  <si>
    <t xml:space="preserve">Authors: </t>
  </si>
  <si>
    <t>Process:</t>
  </si>
  <si>
    <t>R1a</t>
  </si>
  <si>
    <t>Prob of retiring, singles</t>
  </si>
  <si>
    <t>R1b</t>
  </si>
  <si>
    <t>Prob of retiring, partnered</t>
  </si>
  <si>
    <t>Notes:</t>
  </si>
  <si>
    <t>Goodness of fit</t>
  </si>
  <si>
    <t>REGRESSOR</t>
  </si>
  <si>
    <t>COEFFICIENT</t>
  </si>
  <si>
    <t>Dgn</t>
  </si>
  <si>
    <t>Dag</t>
  </si>
  <si>
    <t>Dag_sq</t>
  </si>
  <si>
    <t>Deh_c4_Medium_L1</t>
  </si>
  <si>
    <t>Deh_c4_Low_L1</t>
  </si>
  <si>
    <t>Dhe_pcs_L1</t>
  </si>
  <si>
    <t>Dhe_mcs_L1</t>
  </si>
  <si>
    <t>Reached_Retirement_Age</t>
  </si>
  <si>
    <t>Les_c3_NotEmployed_L1</t>
  </si>
  <si>
    <t>Ydses_c5_Q2_L1</t>
  </si>
  <si>
    <t>Ydses_c5_Q3_L1</t>
  </si>
  <si>
    <t>Ydses_c5_Q4_L1</t>
  </si>
  <si>
    <t>Ydses_c5_Q5_L1</t>
  </si>
  <si>
    <t>Dlltsd01_L1</t>
  </si>
  <si>
    <t>Year_transformed</t>
  </si>
  <si>
    <t>Y2020</t>
  </si>
  <si>
    <t>Y2021</t>
  </si>
  <si>
    <t>Constant</t>
  </si>
  <si>
    <t>R1a - Retire, singles</t>
  </si>
  <si>
    <t>Pseudo R-squared</t>
  </si>
  <si>
    <t>N</t>
  </si>
  <si>
    <t>Chi^2</t>
  </si>
  <si>
    <t>Log likelihood</t>
  </si>
  <si>
    <t>Reached_Retirement_Age_Les</t>
  </si>
  <si>
    <t>Lessp_c3_NotEmployed_L1</t>
  </si>
  <si>
    <t>Reached_Retirement_Age_Sp</t>
  </si>
  <si>
    <t>R1a - Retire, partnered</t>
  </si>
  <si>
    <t>Patryk Bronka, Justin van de Ven, Daria Popova, Aleksandra Kolndrekaj, Ashley Burdett</t>
  </si>
  <si>
    <t xml:space="preserve">Last edit: 15 April 2026 (DP) </t>
  </si>
  <si>
    <t>Estimation sample: UK_ipop.dta with grossing up weight dwt</t>
  </si>
  <si>
    <t>Conditions for processes are defined as globals in master.do</t>
  </si>
  <si>
    <t>demMaleFlag</t>
  </si>
  <si>
    <t>demAge</t>
  </si>
  <si>
    <t>demAgeSq</t>
  </si>
  <si>
    <t>eduHighestC4MediumL1</t>
  </si>
  <si>
    <t>eduHighestC4LowL1</t>
  </si>
  <si>
    <t>healthPhysicalPcsL1</t>
  </si>
  <si>
    <t>healthMentalMcsL1</t>
  </si>
  <si>
    <t>demPensAgeFlag</t>
  </si>
  <si>
    <t>labStatusC3NotEmployedL1</t>
  </si>
  <si>
    <t>yHhQuintilesMonthC5Q2L1</t>
  </si>
  <si>
    <t>yHhQuintilesMonthC5Q3L1</t>
  </si>
  <si>
    <t>yHhQuintilesMonthC5Q4L1</t>
  </si>
  <si>
    <t>yHhQuintilesMonthC5Q5L1</t>
  </si>
  <si>
    <t>healthDsblLongtermFlagL1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</si>
  <si>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</si>
  <si>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</si>
  <si>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</si>
  <si>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</si>
  <si>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</si>
  <si>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</si>
  <si>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</si>
  <si>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</si>
  <si>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</si>
  <si>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</si>
  <si>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</si>
  <si>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demYear2020</t>
  </si>
  <si>
    <t>demYear2021</t>
  </si>
  <si>
    <t>demEthnC4Asian</t>
  </si>
  <si>
    <t>demEthnC4Black</t>
  </si>
  <si>
    <t>demEthnC4Other</t>
  </si>
  <si>
    <t>demPensAgeFlag_NotEmployedL1</t>
  </si>
  <si>
    <t>demPensPartnerAgeFlag</t>
  </si>
  <si>
    <t>labStatusPartnerC3NotEmployedL1</t>
  </si>
  <si>
    <t>comp</t>
  </si>
  <si>
    <t>demYearTransformed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</si>
</sst>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G43"/>
  <sheetViews>
    <sheetView workbookViewId="0">
      <selection activeCell="G1" sqref="G1:G1048576"/>
    </sheetView>
  </sheetViews>
  <sheetFormatPr baseColWidth="10" defaultColWidth="8.83203125" defaultRowHeight="15" x14ac:dyDescent="0.2"/>
  <cols>
    <col min="1" max="1" width="27.5" customWidth="1"/>
    <col min="4" max="4" width="24.5" customWidth="1"/>
  </cols>
  <sheetData>
    <row r="1" spans="1:7" x14ac:dyDescent="0.2">
      <c r="A1" t="str">
        <f>'R1a'!A1</f>
        <v>REGRESSOR</v>
      </c>
      <c r="B1" t="str">
        <f>'R1a'!B1</f>
        <v>COEFFICIENT</v>
      </c>
      <c r="D1" t="str">
        <f>'R1a_orig'!A1</f>
        <v>REGRESSOR</v>
      </c>
      <c r="E1" t="str">
        <f>'R1a_orig'!B1</f>
        <v>COEFFICIENT</v>
      </c>
      <c r="G1" t="s">
        <v>76</v>
      </c>
    </row>
    <row r="2" spans="1:7" x14ac:dyDescent="0.2">
      <c r="A2" t="str">
        <f>'R1a'!A2</f>
        <v>demMaleFlag</v>
      </c>
      <c r="B2">
        <f>'R1a'!B2</f>
        <v>0.10737056546630433</v>
      </c>
      <c r="D2" t="str">
        <f>'R1a_orig'!A2</f>
        <v>Dgn</v>
      </c>
      <c r="E2">
        <f>'R1a_orig'!B2</f>
        <v>0.10737056546630452</v>
      </c>
      <c r="G2" s="1">
        <f>B2-E2</f>
        <v>-1.9428902930940239E-16</v>
      </c>
    </row>
    <row r="3" spans="1:7" x14ac:dyDescent="0.2">
      <c r="A3" t="str">
        <f>'R1a'!A3</f>
        <v>demAge</v>
      </c>
      <c r="B3">
        <f>'R1a'!B3</f>
        <v>0.52454491039570772</v>
      </c>
      <c r="D3" t="str">
        <f>'R1a_orig'!A3</f>
        <v>Dag</v>
      </c>
      <c r="E3">
        <f>'R1a_orig'!B3</f>
        <v>0.52454491039571405</v>
      </c>
      <c r="G3" s="1">
        <f t="shared" ref="G3:G33" si="0">B3-E3</f>
        <v>-6.3282712403633923E-15</v>
      </c>
    </row>
    <row r="4" spans="1:7" x14ac:dyDescent="0.2">
      <c r="A4" t="str">
        <f>'R1a'!A4</f>
        <v>demAgeSq</v>
      </c>
      <c r="B4">
        <f>'R1a'!B4</f>
        <v>-3.6750678807111335E-3</v>
      </c>
      <c r="D4" t="str">
        <f>'R1a_orig'!A4</f>
        <v>Dag_sq</v>
      </c>
      <c r="E4">
        <f>'R1a_orig'!B4</f>
        <v>-3.6750678807111825E-3</v>
      </c>
      <c r="G4" s="1">
        <f t="shared" si="0"/>
        <v>4.90059381963448E-17</v>
      </c>
    </row>
    <row r="5" spans="1:7" x14ac:dyDescent="0.2">
      <c r="A5" t="str">
        <f>'R1a'!A5</f>
        <v>eduHighestC4MediumL1</v>
      </c>
      <c r="B5">
        <f>'R1a'!B5</f>
        <v>-5.6978641891232473E-2</v>
      </c>
      <c r="D5" t="str">
        <f>'R1a_orig'!A5</f>
        <v>Deh_c4_Medium_L1</v>
      </c>
      <c r="E5">
        <f>'R1a_orig'!B5</f>
        <v>-5.6978641891232855E-2</v>
      </c>
      <c r="G5" s="1">
        <f t="shared" si="0"/>
        <v>3.8163916471489756E-16</v>
      </c>
    </row>
    <row r="6" spans="1:7" x14ac:dyDescent="0.2">
      <c r="A6" t="str">
        <f>'R1a'!A6</f>
        <v>eduHighestC4LowL1</v>
      </c>
      <c r="B6">
        <f>'R1a'!B6</f>
        <v>-8.1493431594563098E-2</v>
      </c>
      <c r="D6" t="str">
        <f>'R1a_orig'!A6</f>
        <v>Deh_c4_Low_L1</v>
      </c>
      <c r="E6">
        <f>'R1a_orig'!B6</f>
        <v>-8.1493431594563653E-2</v>
      </c>
      <c r="G6" s="1">
        <f t="shared" si="0"/>
        <v>5.5511151231257827E-16</v>
      </c>
    </row>
    <row r="7" spans="1:7" x14ac:dyDescent="0.2">
      <c r="A7" t="str">
        <f>'R1a'!A7</f>
        <v>healthPhysicalPcsL1</v>
      </c>
      <c r="B7">
        <f>'R1a'!B7</f>
        <v>-3.7952887242513442E-3</v>
      </c>
      <c r="D7" t="str">
        <f>'R1a_orig'!A7</f>
        <v>Dhe_pcs_L1</v>
      </c>
      <c r="E7">
        <f>'R1a_orig'!B7</f>
        <v>-3.7952887242513871E-3</v>
      </c>
      <c r="G7" s="1">
        <f t="shared" si="0"/>
        <v>4.2934406030425976E-17</v>
      </c>
    </row>
    <row r="8" spans="1:7" x14ac:dyDescent="0.2">
      <c r="A8" t="str">
        <f>'R1a'!A8</f>
        <v>healthMentalMcsL1</v>
      </c>
      <c r="B8">
        <f>'R1a'!B8</f>
        <v>-5.1167218877561191E-4</v>
      </c>
      <c r="D8" t="str">
        <f>'R1a_orig'!A8</f>
        <v>Dhe_mcs_L1</v>
      </c>
      <c r="E8">
        <f>'R1a_orig'!B8</f>
        <v>-5.1167218877559836E-4</v>
      </c>
      <c r="G8" s="1">
        <f t="shared" si="0"/>
        <v>-1.3552527156068805E-17</v>
      </c>
    </row>
    <row r="9" spans="1:7" x14ac:dyDescent="0.2">
      <c r="A9" t="str">
        <f>'R1a'!A9</f>
        <v>demPensAgeFlag</v>
      </c>
      <c r="B9">
        <f>'R1a'!B9</f>
        <v>0.77485627980638583</v>
      </c>
      <c r="D9" t="str">
        <f>'R1a_orig'!A9</f>
        <v>Reached_Retirement_Age</v>
      </c>
      <c r="E9">
        <f>'R1a_orig'!B9</f>
        <v>0.77485627980638683</v>
      </c>
      <c r="G9" s="1">
        <f t="shared" si="0"/>
        <v>-9.9920072216264089E-16</v>
      </c>
    </row>
    <row r="10" spans="1:7" x14ac:dyDescent="0.2">
      <c r="A10" t="str">
        <f>'R1a'!A10</f>
        <v>labStatusC3NotEmployedL1</v>
      </c>
      <c r="B10">
        <f>'R1a'!B10</f>
        <v>0.62918171366625486</v>
      </c>
      <c r="D10" t="str">
        <f>'R1a_orig'!A10</f>
        <v>Les_c3_NotEmployed_L1</v>
      </c>
      <c r="E10">
        <f>'R1a_orig'!B10</f>
        <v>0.62918171366625752</v>
      </c>
      <c r="G10" s="1">
        <f t="shared" si="0"/>
        <v>-2.6645352591003757E-15</v>
      </c>
    </row>
    <row r="11" spans="1:7" x14ac:dyDescent="0.2">
      <c r="A11" t="str">
        <f>'R1a'!A11</f>
        <v>yHhQuintilesMonthC5Q2L1</v>
      </c>
      <c r="B11">
        <f>'R1a'!B11</f>
        <v>7.4549858318754617E-2</v>
      </c>
      <c r="D11" t="str">
        <f>'R1a_orig'!A11</f>
        <v>Ydses_c5_Q2_L1</v>
      </c>
      <c r="E11">
        <f>'R1a_orig'!B11</f>
        <v>7.454985831875581E-2</v>
      </c>
      <c r="G11" s="1">
        <f t="shared" si="0"/>
        <v>-1.1934897514720433E-15</v>
      </c>
    </row>
    <row r="12" spans="1:7" x14ac:dyDescent="0.2">
      <c r="A12" t="str">
        <f>'R1a'!A12</f>
        <v>yHhQuintilesMonthC5Q3L1</v>
      </c>
      <c r="B12">
        <f>'R1a'!B12</f>
        <v>7.0393091359041607E-2</v>
      </c>
      <c r="D12" t="str">
        <f>'R1a_orig'!A12</f>
        <v>Ydses_c5_Q3_L1</v>
      </c>
      <c r="E12">
        <f>'R1a_orig'!B12</f>
        <v>7.0393091359042564E-2</v>
      </c>
      <c r="G12" s="1">
        <f t="shared" si="0"/>
        <v>-9.5756735873919752E-16</v>
      </c>
    </row>
    <row r="13" spans="1:7" x14ac:dyDescent="0.2">
      <c r="A13" t="str">
        <f>'R1a'!A13</f>
        <v>yHhQuintilesMonthC5Q4L1</v>
      </c>
      <c r="B13">
        <f>'R1a'!B13</f>
        <v>0.11449327643682537</v>
      </c>
      <c r="D13" t="str">
        <f>'R1a_orig'!A13</f>
        <v>Ydses_c5_Q4_L1</v>
      </c>
      <c r="E13">
        <f>'R1a_orig'!B13</f>
        <v>0.11449327643682625</v>
      </c>
      <c r="G13" s="1">
        <f t="shared" si="0"/>
        <v>-8.7430063189231078E-16</v>
      </c>
    </row>
    <row r="14" spans="1:7" x14ac:dyDescent="0.2">
      <c r="A14" t="str">
        <f>'R1a'!A14</f>
        <v>yHhQuintilesMonthC5Q5L1</v>
      </c>
      <c r="B14">
        <f>'R1a'!B14</f>
        <v>0.31890394871273253</v>
      </c>
      <c r="D14" t="str">
        <f>'R1a_orig'!A14</f>
        <v>Ydses_c5_Q5_L1</v>
      </c>
      <c r="E14">
        <f>'R1a_orig'!B14</f>
        <v>0.31890394871273403</v>
      </c>
      <c r="G14" s="1">
        <f t="shared" si="0"/>
        <v>-1.4988010832439613E-15</v>
      </c>
    </row>
    <row r="15" spans="1:7" x14ac:dyDescent="0.2">
      <c r="A15" t="str">
        <f>'R1a'!A15</f>
        <v>healthDsblLongtermFlagL1</v>
      </c>
      <c r="B15">
        <f>'R1a'!B15</f>
        <v>-0.15047232073835276</v>
      </c>
      <c r="D15" t="str">
        <f>'R1a_orig'!A15</f>
        <v>Dlltsd01_L1</v>
      </c>
      <c r="E15">
        <f>'R1a_orig'!B15</f>
        <v>-0.15047232073835498</v>
      </c>
      <c r="G15" s="1">
        <f t="shared" si="0"/>
        <v>2.2204460492503131E-15</v>
      </c>
    </row>
    <row r="16" spans="1:7" x14ac:dyDescent="0.2">
      <c r="A16" t="str">
        <f>'R1a'!A16</f>
        <v>demRgnUKC</v>
      </c>
      <c r="B16">
        <f>'R1a'!B16</f>
        <v>0.19498921207128844</v>
      </c>
      <c r="D16" t="str">
        <f>'R1a_orig'!A16</f>
        <v>demRgnUKC</v>
      </c>
      <c r="E16">
        <f>'R1a_orig'!B16</f>
        <v>0.19498921207128828</v>
      </c>
      <c r="G16" s="1">
        <f t="shared" si="0"/>
        <v>0</v>
      </c>
    </row>
    <row r="17" spans="1:7" x14ac:dyDescent="0.2">
      <c r="A17" t="str">
        <f>'R1a'!A17</f>
        <v>demRgnUKD</v>
      </c>
      <c r="B17">
        <f>'R1a'!B17</f>
        <v>0.22919334068716524</v>
      </c>
      <c r="D17" t="str">
        <f>'R1a_orig'!A17</f>
        <v>demRgnUKD</v>
      </c>
      <c r="E17">
        <f>'R1a_orig'!B17</f>
        <v>0.22919334068716579</v>
      </c>
      <c r="G17" s="1">
        <f t="shared" si="0"/>
        <v>-5.5511151231257827E-16</v>
      </c>
    </row>
    <row r="18" spans="1:7" x14ac:dyDescent="0.2">
      <c r="A18" t="str">
        <f>'R1a'!A18</f>
        <v>demRgnUKE</v>
      </c>
      <c r="B18">
        <f>'R1a'!B18</f>
        <v>0.11364634617343179</v>
      </c>
      <c r="D18" t="str">
        <f>'R1a_orig'!A18</f>
        <v>demRgnUKE</v>
      </c>
      <c r="E18">
        <f>'R1a_orig'!B18</f>
        <v>0.11364634617343179</v>
      </c>
      <c r="G18" s="1">
        <f t="shared" si="0"/>
        <v>0</v>
      </c>
    </row>
    <row r="19" spans="1:7" x14ac:dyDescent="0.2">
      <c r="A19" t="str">
        <f>'R1a'!A19</f>
        <v>demRgnUKF</v>
      </c>
      <c r="B19">
        <f>'R1a'!B19</f>
        <v>0.18008110954421672</v>
      </c>
      <c r="D19" t="str">
        <f>'R1a_orig'!A19</f>
        <v>demRgnUKF</v>
      </c>
      <c r="E19">
        <f>'R1a_orig'!B19</f>
        <v>0.18008110954421708</v>
      </c>
      <c r="G19" s="1">
        <f t="shared" si="0"/>
        <v>-3.6082248300317588E-16</v>
      </c>
    </row>
    <row r="20" spans="1:7" x14ac:dyDescent="0.2">
      <c r="A20" t="str">
        <f>'R1a'!A20</f>
        <v>demRgnUKG</v>
      </c>
      <c r="B20">
        <f>'R1a'!B20</f>
        <v>5.1314653015136477E-2</v>
      </c>
      <c r="D20" t="str">
        <f>'R1a_orig'!A20</f>
        <v>demRgnUKG</v>
      </c>
      <c r="E20">
        <f>'R1a_orig'!B20</f>
        <v>5.1314653015136373E-2</v>
      </c>
      <c r="G20" s="1">
        <f t="shared" si="0"/>
        <v>1.0408340855860843E-16</v>
      </c>
    </row>
    <row r="21" spans="1:7" x14ac:dyDescent="0.2">
      <c r="A21" t="str">
        <f>'R1a'!A21</f>
        <v>demRgnUKH</v>
      </c>
      <c r="B21">
        <f>'R1a'!B21</f>
        <v>0.19316226955733787</v>
      </c>
      <c r="D21" t="str">
        <f>'R1a_orig'!A21</f>
        <v>demRgnUKH</v>
      </c>
      <c r="E21">
        <f>'R1a_orig'!B21</f>
        <v>0.1931622695573377</v>
      </c>
      <c r="G21" s="1">
        <f t="shared" si="0"/>
        <v>0</v>
      </c>
    </row>
    <row r="22" spans="1:7" x14ac:dyDescent="0.2">
      <c r="A22" t="str">
        <f>'R1a'!A22</f>
        <v>demRgnUKJ</v>
      </c>
      <c r="B22">
        <f>'R1a'!B22</f>
        <v>4.4814643536305251E-2</v>
      </c>
      <c r="D22" t="str">
        <f>'R1a_orig'!A22</f>
        <v>demRgnUKJ</v>
      </c>
      <c r="E22">
        <f>'R1a_orig'!B22</f>
        <v>4.4814643536305383E-2</v>
      </c>
      <c r="G22" s="1">
        <f t="shared" si="0"/>
        <v>-1.3183898417423734E-16</v>
      </c>
    </row>
    <row r="23" spans="1:7" x14ac:dyDescent="0.2">
      <c r="A23" t="str">
        <f>'R1a'!A23</f>
        <v>demRgnUKK</v>
      </c>
      <c r="B23">
        <f>'R1a'!B23</f>
        <v>0.12448439974317975</v>
      </c>
      <c r="D23" t="str">
        <f>'R1a_orig'!A23</f>
        <v>demRgnUKK</v>
      </c>
      <c r="E23">
        <f>'R1a_orig'!B23</f>
        <v>0.1244843997431799</v>
      </c>
      <c r="G23" s="1">
        <f t="shared" si="0"/>
        <v>-1.5265566588595902E-16</v>
      </c>
    </row>
    <row r="24" spans="1:7" x14ac:dyDescent="0.2">
      <c r="A24" t="str">
        <f>'R1a'!A24</f>
        <v>demRgnUKL</v>
      </c>
      <c r="B24">
        <f>'R1a'!B24</f>
        <v>0.2293094856927996</v>
      </c>
      <c r="D24" t="str">
        <f>'R1a_orig'!A24</f>
        <v>demRgnUKL</v>
      </c>
      <c r="E24">
        <f>'R1a_orig'!B24</f>
        <v>0.22930948569280002</v>
      </c>
      <c r="G24" s="1">
        <f t="shared" si="0"/>
        <v>-4.163336342344337E-16</v>
      </c>
    </row>
    <row r="25" spans="1:7" x14ac:dyDescent="0.2">
      <c r="A25" t="str">
        <f>'R1a'!A25</f>
        <v>demRgnUKM</v>
      </c>
      <c r="B25">
        <f>'R1a'!B25</f>
        <v>0.13741935489191337</v>
      </c>
      <c r="D25" t="str">
        <f>'R1a_orig'!A25</f>
        <v>demRgnUKM</v>
      </c>
      <c r="E25">
        <f>'R1a_orig'!B25</f>
        <v>0.13741935489191365</v>
      </c>
      <c r="G25" s="1">
        <f t="shared" si="0"/>
        <v>-2.7755575615628914E-16</v>
      </c>
    </row>
    <row r="26" spans="1:7" x14ac:dyDescent="0.2">
      <c r="A26" t="str">
        <f>'R1a'!A26</f>
        <v>demRgnUKN</v>
      </c>
      <c r="B26">
        <f>'R1a'!B26</f>
        <v>9.113124820965067E-2</v>
      </c>
      <c r="D26" t="str">
        <f>'R1a_orig'!A26</f>
        <v>demRgnUKN</v>
      </c>
      <c r="E26">
        <f>'R1a_orig'!B26</f>
        <v>9.1131248209650892E-2</v>
      </c>
      <c r="G26" s="1">
        <f t="shared" si="0"/>
        <v>-2.2204460492503131E-16</v>
      </c>
    </row>
    <row r="27" spans="1:7" x14ac:dyDescent="0.2">
      <c r="A27" t="str">
        <f>'R1a'!A27</f>
        <v>demYearTransformed</v>
      </c>
      <c r="B27">
        <f>'R1a'!B27</f>
        <v>-1.6375314759421059E-2</v>
      </c>
      <c r="D27" t="str">
        <f>'R1a_orig'!A27</f>
        <v>Year_transformed</v>
      </c>
      <c r="E27">
        <f>'R1a_orig'!B27</f>
        <v>-1.637531475942158E-2</v>
      </c>
      <c r="G27" s="1">
        <f t="shared" si="0"/>
        <v>5.2041704279304213E-16</v>
      </c>
    </row>
    <row r="28" spans="1:7" x14ac:dyDescent="0.2">
      <c r="A28" t="str">
        <f>'R1a'!A28</f>
        <v>demYear2020</v>
      </c>
      <c r="B28">
        <f>'R1a'!B28</f>
        <v>-0.1052951030089934</v>
      </c>
      <c r="D28" t="str">
        <f>'R1a_orig'!A28</f>
        <v>Y2020</v>
      </c>
      <c r="E28">
        <f>'R1a_orig'!B28</f>
        <v>-0.1052951030089922</v>
      </c>
      <c r="G28" s="1">
        <f t="shared" si="0"/>
        <v>-1.2073675392798577E-15</v>
      </c>
    </row>
    <row r="29" spans="1:7" x14ac:dyDescent="0.2">
      <c r="A29" t="str">
        <f>'R1a'!A29</f>
        <v>demYear2021</v>
      </c>
      <c r="B29">
        <f>'R1a'!B29</f>
        <v>-2.6689484910023837E-2</v>
      </c>
      <c r="D29" t="str">
        <f>'R1a_orig'!A29</f>
        <v>Y2021</v>
      </c>
      <c r="E29">
        <f>'R1a_orig'!B29</f>
        <v>-2.6689484910022043E-2</v>
      </c>
      <c r="G29" s="1">
        <f t="shared" si="0"/>
        <v>-1.7937040741600185E-15</v>
      </c>
    </row>
    <row r="30" spans="1:7" x14ac:dyDescent="0.2">
      <c r="A30" t="str">
        <f>'R1a'!A30</f>
        <v>demEthnC4Asian</v>
      </c>
      <c r="B30">
        <f>'R1a'!B30</f>
        <v>-0.16404981170361674</v>
      </c>
      <c r="D30" t="str">
        <f>'R1a_orig'!A30</f>
        <v>demEthnC4Asian</v>
      </c>
      <c r="E30">
        <f>'R1a_orig'!B30</f>
        <v>-0.16404981170361665</v>
      </c>
      <c r="G30" s="1">
        <f t="shared" si="0"/>
        <v>0</v>
      </c>
    </row>
    <row r="31" spans="1:7" x14ac:dyDescent="0.2">
      <c r="A31" t="str">
        <f>'R1a'!A31</f>
        <v>demEthnC4Black</v>
      </c>
      <c r="B31">
        <f>'R1a'!B31</f>
        <v>0.15490014479434369</v>
      </c>
      <c r="D31" t="str">
        <f>'R1a_orig'!A31</f>
        <v>demEthnC4Black</v>
      </c>
      <c r="E31">
        <f>'R1a_orig'!B31</f>
        <v>0.15490014479434436</v>
      </c>
      <c r="G31" s="1">
        <f t="shared" si="0"/>
        <v>-6.6613381477509392E-16</v>
      </c>
    </row>
    <row r="32" spans="1:7" x14ac:dyDescent="0.2">
      <c r="A32" t="str">
        <f>'R1a'!A32</f>
        <v>demEthnC4Other</v>
      </c>
      <c r="B32">
        <f>'R1a'!B32</f>
        <v>4.8205239389574286E-2</v>
      </c>
      <c r="D32" t="str">
        <f>'R1a_orig'!A32</f>
        <v>demEthnC4Other</v>
      </c>
      <c r="E32">
        <f>'R1a_orig'!B32</f>
        <v>4.8205239389575258E-2</v>
      </c>
      <c r="G32" s="1">
        <f t="shared" si="0"/>
        <v>-9.7144514654701197E-16</v>
      </c>
    </row>
    <row r="33" spans="1:7" x14ac:dyDescent="0.2">
      <c r="A33" t="str">
        <f>'R1a'!A33</f>
        <v>Constant</v>
      </c>
      <c r="B33">
        <f>'R1a'!B33</f>
        <v>-19.839038298331985</v>
      </c>
      <c r="D33" t="str">
        <f>'R1a_orig'!A33</f>
        <v>Constant</v>
      </c>
      <c r="E33">
        <f>'R1a_orig'!B33</f>
        <v>-19.839038298332174</v>
      </c>
      <c r="G33" s="1">
        <f t="shared" si="0"/>
        <v>1.8829382497642655E-13</v>
      </c>
    </row>
    <row r="34" spans="1:7" x14ac:dyDescent="0.2">
      <c r="G34" s="1"/>
    </row>
    <row r="35" spans="1:7" x14ac:dyDescent="0.2">
      <c r="G35" s="1"/>
    </row>
    <row r="36" spans="1:7" x14ac:dyDescent="0.2">
      <c r="G36" s="1"/>
    </row>
    <row r="37" spans="1:7" x14ac:dyDescent="0.2">
      <c r="G37" s="1"/>
    </row>
    <row r="38" spans="1:7" x14ac:dyDescent="0.2">
      <c r="G38" s="1"/>
    </row>
    <row r="39" spans="1:7" x14ac:dyDescent="0.2">
      <c r="G39" s="1"/>
    </row>
    <row r="40" spans="1:7" x14ac:dyDescent="0.2">
      <c r="G40" s="1"/>
    </row>
    <row r="41" spans="1:7" x14ac:dyDescent="0.2">
      <c r="G41" s="1"/>
    </row>
    <row r="42" spans="1:7" x14ac:dyDescent="0.2">
      <c r="G42" s="1"/>
    </row>
    <row r="43" spans="1:7" x14ac:dyDescent="0.2">
      <c r="G4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43"/>
  <sheetViews>
    <sheetView workbookViewId="0">
      <selection activeCell="A33" sqref="A33"/>
    </sheetView>
  </sheetViews>
  <sheetFormatPr baseColWidth="10" defaultColWidth="8.83203125" defaultRowHeight="15" x14ac:dyDescent="0.2"/>
  <cols>
    <col min="1" max="1" width="38" customWidth="1"/>
    <col min="4" max="4" width="29.1640625" customWidth="1"/>
  </cols>
  <sheetData>
    <row r="1" spans="1:7" x14ac:dyDescent="0.2">
      <c r="A1" t="str">
        <f>'R1b'!A1</f>
        <v>REGRESSOR</v>
      </c>
      <c r="B1" t="str">
        <f>'R1b'!B1</f>
        <v>COEFFICIENT</v>
      </c>
      <c r="D1" t="str">
        <f>'R1b_orig'!A1</f>
        <v>REGRESSOR</v>
      </c>
      <c r="E1" t="str">
        <f>'R1b_orig'!B1</f>
        <v>COEFFICIENT</v>
      </c>
      <c r="G1" t="s">
        <v>76</v>
      </c>
    </row>
    <row r="2" spans="1:7" x14ac:dyDescent="0.2">
      <c r="A2" t="str">
        <f>'R1b'!A2</f>
        <v>demMaleFlag</v>
      </c>
      <c r="B2">
        <f>'R1b'!B2</f>
        <v>-1.901373101032966E-2</v>
      </c>
      <c r="D2" t="str">
        <f>'R1b_orig'!A2</f>
        <v>Dgn</v>
      </c>
      <c r="E2">
        <f>'R1b_orig'!B2</f>
        <v>-1.9013731010330326E-2</v>
      </c>
      <c r="G2" s="1">
        <f>B2-E2</f>
        <v>6.6613381477509392E-16</v>
      </c>
    </row>
    <row r="3" spans="1:7" x14ac:dyDescent="0.2">
      <c r="A3" t="str">
        <f>'R1b'!A3</f>
        <v>demAge</v>
      </c>
      <c r="B3">
        <f>'R1b'!B3</f>
        <v>0.82256252466445767</v>
      </c>
      <c r="D3" t="str">
        <f>'R1b_orig'!A3</f>
        <v>Dag</v>
      </c>
      <c r="E3">
        <f>'R1b_orig'!B3</f>
        <v>0.82256252466440527</v>
      </c>
      <c r="G3" s="1">
        <f t="shared" ref="G3:G36" si="0">B3-E3</f>
        <v>5.2402526762307389E-14</v>
      </c>
    </row>
    <row r="4" spans="1:7" x14ac:dyDescent="0.2">
      <c r="A4" t="str">
        <f>'R1b'!A4</f>
        <v>demAgeSq</v>
      </c>
      <c r="B4">
        <f>'R1b'!B4</f>
        <v>-6.2310959546821266E-3</v>
      </c>
      <c r="D4" t="str">
        <f>'R1b_orig'!A4</f>
        <v>Dag_sq</v>
      </c>
      <c r="E4">
        <f>'R1b_orig'!B4</f>
        <v>-6.2310959546817042E-3</v>
      </c>
      <c r="G4" s="1">
        <f t="shared" si="0"/>
        <v>-4.2240516640035253E-16</v>
      </c>
    </row>
    <row r="5" spans="1:7" x14ac:dyDescent="0.2">
      <c r="A5" t="str">
        <f>'R1b'!A5</f>
        <v>eduHighestC4MediumL1</v>
      </c>
      <c r="B5">
        <f>'R1b'!B5</f>
        <v>-7.1962484270412491E-2</v>
      </c>
      <c r="D5" t="str">
        <f>'R1b_orig'!A5</f>
        <v>Deh_c4_Medium_L1</v>
      </c>
      <c r="E5">
        <f>'R1b_orig'!B5</f>
        <v>-7.1962484270410979E-2</v>
      </c>
      <c r="G5" s="1">
        <f t="shared" si="0"/>
        <v>-1.5126788710517758E-15</v>
      </c>
    </row>
    <row r="6" spans="1:7" x14ac:dyDescent="0.2">
      <c r="A6" t="str">
        <f>'R1b'!A6</f>
        <v>eduHighestC4LowL1</v>
      </c>
      <c r="B6">
        <f>'R1b'!B6</f>
        <v>-0.18756033825249671</v>
      </c>
      <c r="D6" t="str">
        <f>'R1b_orig'!A6</f>
        <v>Deh_c4_Low_L1</v>
      </c>
      <c r="E6">
        <f>'R1b_orig'!B6</f>
        <v>-0.18756033825249371</v>
      </c>
      <c r="G6" s="1">
        <f t="shared" si="0"/>
        <v>-2.9976021664879227E-15</v>
      </c>
    </row>
    <row r="7" spans="1:7" x14ac:dyDescent="0.2">
      <c r="A7" t="str">
        <f>'R1b'!A7</f>
        <v>healthPhysicalPcsL1</v>
      </c>
      <c r="B7">
        <f>'R1b'!B7</f>
        <v>-3.6417009746713357E-4</v>
      </c>
      <c r="D7" t="str">
        <f>'R1b_orig'!A7</f>
        <v>Dhe_pcs_L1</v>
      </c>
      <c r="E7">
        <f>'R1b_orig'!B7</f>
        <v>-3.6417009746723386E-4</v>
      </c>
      <c r="G7" s="1">
        <f t="shared" si="0"/>
        <v>1.0028870095490916E-16</v>
      </c>
    </row>
    <row r="8" spans="1:7" x14ac:dyDescent="0.2">
      <c r="A8" t="str">
        <f>'R1b'!A8</f>
        <v>healthMentalMcsL1</v>
      </c>
      <c r="B8">
        <f>'R1b'!B8</f>
        <v>5.4314256151540279E-4</v>
      </c>
      <c r="D8" t="str">
        <f>'R1b_orig'!A8</f>
        <v>Dhe_mcs_L1</v>
      </c>
      <c r="E8">
        <f>'R1b_orig'!B8</f>
        <v>5.4314256151544963E-4</v>
      </c>
      <c r="G8" s="1">
        <f t="shared" si="0"/>
        <v>-4.6837533851373792E-17</v>
      </c>
    </row>
    <row r="9" spans="1:7" x14ac:dyDescent="0.2">
      <c r="A9" t="str">
        <f>'R1b'!A9</f>
        <v>demPensAgeFlag</v>
      </c>
      <c r="B9">
        <f>'R1b'!B9</f>
        <v>0.53066151700602748</v>
      </c>
      <c r="D9" t="str">
        <f>'R1b_orig'!A9</f>
        <v>Reached_Retirement_Age</v>
      </c>
      <c r="E9">
        <f>'R1b_orig'!B9</f>
        <v>0.53066151700602282</v>
      </c>
      <c r="G9" s="1">
        <f t="shared" si="0"/>
        <v>4.6629367034256575E-15</v>
      </c>
    </row>
    <row r="10" spans="1:7" x14ac:dyDescent="0.2">
      <c r="A10" t="str">
        <f>'R1b'!A10</f>
        <v>demPensAgeFlag_NotEmployedL1</v>
      </c>
      <c r="B10">
        <f>'R1b'!B10</f>
        <v>0.5236562176187064</v>
      </c>
      <c r="D10" t="str">
        <f>'R1b_orig'!A10</f>
        <v>Reached_Retirement_Age_Les</v>
      </c>
      <c r="E10">
        <f>'R1b_orig'!B10</f>
        <v>0.52365621761868297</v>
      </c>
      <c r="G10" s="1">
        <f t="shared" si="0"/>
        <v>2.3425705819590803E-14</v>
      </c>
    </row>
    <row r="11" spans="1:7" x14ac:dyDescent="0.2">
      <c r="A11" t="str">
        <f>'R1b'!A11</f>
        <v>labStatusC3NotEmployedL1</v>
      </c>
      <c r="B11">
        <f>'R1b'!B11</f>
        <v>0.61574466111473847</v>
      </c>
      <c r="D11" t="str">
        <f>'R1b_orig'!A11</f>
        <v>Les_c3_NotEmployed_L1</v>
      </c>
      <c r="E11">
        <f>'R1b_orig'!B11</f>
        <v>0.6157446611147338</v>
      </c>
      <c r="G11" s="1">
        <f t="shared" si="0"/>
        <v>4.6629367034256575E-15</v>
      </c>
    </row>
    <row r="12" spans="1:7" x14ac:dyDescent="0.2">
      <c r="A12" t="str">
        <f>'R1b'!A12</f>
        <v>labStatusPartnerC3NotEmployedL1</v>
      </c>
      <c r="B12">
        <f>'R1b'!B12</f>
        <v>0.32592073721252457</v>
      </c>
      <c r="D12" t="str">
        <f>'R1b_orig'!A12</f>
        <v>Lessp_c3_NotEmployed_L1</v>
      </c>
      <c r="E12">
        <f>'R1b_orig'!B12</f>
        <v>0.32592073721252496</v>
      </c>
      <c r="G12" s="1">
        <f t="shared" si="0"/>
        <v>0</v>
      </c>
    </row>
    <row r="13" spans="1:7" x14ac:dyDescent="0.2">
      <c r="A13" t="str">
        <f>'R1b'!A13</f>
        <v>demPensPartnerAgeFlag</v>
      </c>
      <c r="B13">
        <f>'R1b'!B13</f>
        <v>6.2798697014280355E-2</v>
      </c>
      <c r="D13" t="str">
        <f>'R1b_orig'!A13</f>
        <v>Reached_Retirement_Age_Sp</v>
      </c>
      <c r="E13">
        <f>'R1b_orig'!B13</f>
        <v>6.2798697014279231E-2</v>
      </c>
      <c r="G13" s="1">
        <f t="shared" si="0"/>
        <v>1.124100812432971E-15</v>
      </c>
    </row>
    <row r="14" spans="1:7" x14ac:dyDescent="0.2">
      <c r="A14" t="str">
        <f>'R1b'!A14</f>
        <v>yHhQuintilesMonthC5Q2L1</v>
      </c>
      <c r="B14">
        <f>'R1b'!B14</f>
        <v>0.12108493865355374</v>
      </c>
      <c r="D14" t="str">
        <f>'R1b_orig'!A14</f>
        <v>Ydses_c5_Q2_L1</v>
      </c>
      <c r="E14">
        <f>'R1b_orig'!B14</f>
        <v>0.12108493865355388</v>
      </c>
      <c r="G14" s="1">
        <f t="shared" si="0"/>
        <v>-1.3877787807814457E-16</v>
      </c>
    </row>
    <row r="15" spans="1:7" x14ac:dyDescent="0.2">
      <c r="A15" t="str">
        <f>'R1b'!A15</f>
        <v>yHhQuintilesMonthC5Q3L1</v>
      </c>
      <c r="B15">
        <f>'R1b'!B15</f>
        <v>0.20245439514755942</v>
      </c>
      <c r="D15" t="str">
        <f>'R1b_orig'!A15</f>
        <v>Ydses_c5_Q3_L1</v>
      </c>
      <c r="E15">
        <f>'R1b_orig'!B15</f>
        <v>0.20245439514756142</v>
      </c>
      <c r="G15" s="1">
        <f t="shared" si="0"/>
        <v>-1.9984014443252818E-15</v>
      </c>
    </row>
    <row r="16" spans="1:7" x14ac:dyDescent="0.2">
      <c r="A16" t="str">
        <f>'R1b'!A16</f>
        <v>yHhQuintilesMonthC5Q4L1</v>
      </c>
      <c r="B16">
        <f>'R1b'!B16</f>
        <v>0.27561583669022</v>
      </c>
      <c r="D16" t="str">
        <f>'R1b_orig'!A16</f>
        <v>Ydses_c5_Q4_L1</v>
      </c>
      <c r="E16">
        <f>'R1b_orig'!B16</f>
        <v>0.27561583669022355</v>
      </c>
      <c r="G16" s="1">
        <f t="shared" si="0"/>
        <v>-3.5527136788005009E-15</v>
      </c>
    </row>
    <row r="17" spans="1:7" x14ac:dyDescent="0.2">
      <c r="A17" t="str">
        <f>'R1b'!A17</f>
        <v>yHhQuintilesMonthC5Q5L1</v>
      </c>
      <c r="B17">
        <f>'R1b'!B17</f>
        <v>0.44594745078483866</v>
      </c>
      <c r="D17" t="str">
        <f>'R1b_orig'!A17</f>
        <v>Ydses_c5_Q5_L1</v>
      </c>
      <c r="E17">
        <f>'R1b_orig'!B17</f>
        <v>0.44594745078484177</v>
      </c>
      <c r="G17" s="1">
        <f t="shared" si="0"/>
        <v>-3.1086244689504383E-15</v>
      </c>
    </row>
    <row r="18" spans="1:7" x14ac:dyDescent="0.2">
      <c r="A18" t="str">
        <f>'R1b'!A18</f>
        <v>healthDsblLongtermFlagL1</v>
      </c>
      <c r="B18">
        <f>'R1b'!B18</f>
        <v>-0.12867559418656024</v>
      </c>
      <c r="D18" t="str">
        <f>'R1b_orig'!A18</f>
        <v>Dlltsd01_L1</v>
      </c>
      <c r="E18">
        <f>'R1b_orig'!B18</f>
        <v>-0.12867559418655333</v>
      </c>
      <c r="G18" s="1">
        <f t="shared" si="0"/>
        <v>-6.9111383282915995E-15</v>
      </c>
    </row>
    <row r="19" spans="1:7" x14ac:dyDescent="0.2">
      <c r="A19" t="str">
        <f>'R1b'!A19</f>
        <v>demRgnUKC</v>
      </c>
      <c r="B19">
        <f>'R1b'!B19</f>
        <v>0.23393749477395775</v>
      </c>
      <c r="D19" t="str">
        <f>'R1b_orig'!A19</f>
        <v>demRgnUKC</v>
      </c>
      <c r="E19">
        <f>'R1b_orig'!B19</f>
        <v>0.23393749477395737</v>
      </c>
      <c r="G19" s="1">
        <f t="shared" si="0"/>
        <v>3.8857805861880479E-16</v>
      </c>
    </row>
    <row r="20" spans="1:7" x14ac:dyDescent="0.2">
      <c r="A20" t="str">
        <f>'R1b'!A20</f>
        <v>demRgnUKD</v>
      </c>
      <c r="B20">
        <f>'R1b'!B20</f>
        <v>0.12446776990065339</v>
      </c>
      <c r="D20" t="str">
        <f>'R1b_orig'!A20</f>
        <v>demRgnUKD</v>
      </c>
      <c r="E20">
        <f>'R1b_orig'!B20</f>
        <v>0.12446776990065199</v>
      </c>
      <c r="G20" s="1">
        <f t="shared" si="0"/>
        <v>1.4016565685892601E-15</v>
      </c>
    </row>
    <row r="21" spans="1:7" x14ac:dyDescent="0.2">
      <c r="A21" t="str">
        <f>'R1b'!A21</f>
        <v>demRgnUKE</v>
      </c>
      <c r="B21">
        <f>'R1b'!B21</f>
        <v>0.15885390355878248</v>
      </c>
      <c r="D21" t="str">
        <f>'R1b_orig'!A21</f>
        <v>demRgnUKE</v>
      </c>
      <c r="E21">
        <f>'R1b_orig'!B21</f>
        <v>0.15885390355878179</v>
      </c>
      <c r="G21" s="1">
        <f t="shared" si="0"/>
        <v>6.9388939039072284E-16</v>
      </c>
    </row>
    <row r="22" spans="1:7" x14ac:dyDescent="0.2">
      <c r="A22" t="str">
        <f>'R1b'!A22</f>
        <v>demRgnUKF</v>
      </c>
      <c r="B22">
        <f>'R1b'!B22</f>
        <v>0.10190559241708566</v>
      </c>
      <c r="D22" t="str">
        <f>'R1b_orig'!A22</f>
        <v>demRgnUKF</v>
      </c>
      <c r="E22">
        <f>'R1b_orig'!B22</f>
        <v>0.10190559241708592</v>
      </c>
      <c r="G22" s="1">
        <f t="shared" si="0"/>
        <v>-2.6367796834847468E-16</v>
      </c>
    </row>
    <row r="23" spans="1:7" x14ac:dyDescent="0.2">
      <c r="A23" t="str">
        <f>'R1b'!A23</f>
        <v>demRgnUKG</v>
      </c>
      <c r="B23">
        <f>'R1b'!B23</f>
        <v>0.10899814890846771</v>
      </c>
      <c r="D23" t="str">
        <f>'R1b_orig'!A23</f>
        <v>demRgnUKG</v>
      </c>
      <c r="E23">
        <f>'R1b_orig'!B23</f>
        <v>0.10899814890846919</v>
      </c>
      <c r="G23" s="1">
        <f t="shared" si="0"/>
        <v>-1.4849232954361469E-15</v>
      </c>
    </row>
    <row r="24" spans="1:7" x14ac:dyDescent="0.2">
      <c r="A24" t="str">
        <f>'R1b'!A24</f>
        <v>demRgnUKH</v>
      </c>
      <c r="B24">
        <f>'R1b'!B24</f>
        <v>5.3409472160713706E-2</v>
      </c>
      <c r="D24" t="str">
        <f>'R1b_orig'!A24</f>
        <v>demRgnUKH</v>
      </c>
      <c r="E24">
        <f>'R1b_orig'!B24</f>
        <v>5.3409472160712512E-2</v>
      </c>
      <c r="G24" s="1">
        <f t="shared" si="0"/>
        <v>1.1934897514720433E-15</v>
      </c>
    </row>
    <row r="25" spans="1:7" x14ac:dyDescent="0.2">
      <c r="A25" t="str">
        <f>'R1b'!A25</f>
        <v>demRgnUKJ</v>
      </c>
      <c r="B25">
        <f>'R1b'!B25</f>
        <v>3.6483824597415337E-2</v>
      </c>
      <c r="D25" t="str">
        <f>'R1b_orig'!A25</f>
        <v>demRgnUKJ</v>
      </c>
      <c r="E25">
        <f>'R1b_orig'!B25</f>
        <v>3.6483824597414213E-2</v>
      </c>
      <c r="G25" s="1">
        <f t="shared" si="0"/>
        <v>1.124100812432971E-15</v>
      </c>
    </row>
    <row r="26" spans="1:7" x14ac:dyDescent="0.2">
      <c r="A26" t="str">
        <f>'R1b'!A26</f>
        <v>demRgnUKK</v>
      </c>
      <c r="B26">
        <f>'R1b'!B26</f>
        <v>4.3423694246496253E-2</v>
      </c>
      <c r="D26" t="str">
        <f>'R1b_orig'!A26</f>
        <v>demRgnUKK</v>
      </c>
      <c r="E26">
        <f>'R1b_orig'!B26</f>
        <v>4.3423694246496933E-2</v>
      </c>
      <c r="G26" s="1">
        <f t="shared" si="0"/>
        <v>-6.8001160258290838E-16</v>
      </c>
    </row>
    <row r="27" spans="1:7" x14ac:dyDescent="0.2">
      <c r="A27" t="str">
        <f>'R1b'!A27</f>
        <v>demRgnUKL</v>
      </c>
      <c r="B27">
        <f>'R1b'!B27</f>
        <v>0.11368541264941412</v>
      </c>
      <c r="D27" t="str">
        <f>'R1b_orig'!A27</f>
        <v>demRgnUKL</v>
      </c>
      <c r="E27">
        <f>'R1b_orig'!B27</f>
        <v>0.11368541264941462</v>
      </c>
      <c r="G27" s="1">
        <f t="shared" si="0"/>
        <v>-4.9960036108132044E-16</v>
      </c>
    </row>
    <row r="28" spans="1:7" x14ac:dyDescent="0.2">
      <c r="A28" t="str">
        <f>'R1b'!A28</f>
        <v>demRgnUKM</v>
      </c>
      <c r="B28">
        <f>'R1b'!B28</f>
        <v>8.3279836171085947E-2</v>
      </c>
      <c r="D28" t="str">
        <f>'R1b_orig'!A28</f>
        <v>demRgnUKM</v>
      </c>
      <c r="E28">
        <f>'R1b_orig'!B28</f>
        <v>8.3279836171086211E-2</v>
      </c>
      <c r="G28" s="1">
        <f t="shared" si="0"/>
        <v>-2.6367796834847468E-16</v>
      </c>
    </row>
    <row r="29" spans="1:7" x14ac:dyDescent="0.2">
      <c r="A29" t="str">
        <f>'R1b'!A29</f>
        <v>demRgnUKN</v>
      </c>
      <c r="B29">
        <f>'R1b'!B29</f>
        <v>0.10173581851875015</v>
      </c>
      <c r="D29" t="str">
        <f>'R1b_orig'!A29</f>
        <v>demRgnUKN</v>
      </c>
      <c r="E29">
        <f>'R1b_orig'!B29</f>
        <v>0.1017358185187509</v>
      </c>
      <c r="G29" s="1">
        <f t="shared" si="0"/>
        <v>-7.4940054162198066E-16</v>
      </c>
    </row>
    <row r="30" spans="1:7" x14ac:dyDescent="0.2">
      <c r="A30" t="str">
        <f>'R1b'!A30</f>
        <v>demYearTransformed</v>
      </c>
      <c r="B30">
        <f>'R1b'!B30</f>
        <v>-1.250326305429196E-3</v>
      </c>
      <c r="D30" t="str">
        <f>'R1b_orig'!A30</f>
        <v>Year_transformed</v>
      </c>
      <c r="E30">
        <f>'R1b_orig'!B30</f>
        <v>-1.2503263054290384E-3</v>
      </c>
      <c r="G30" s="1">
        <f t="shared" si="0"/>
        <v>-1.5764299587939234E-16</v>
      </c>
    </row>
    <row r="31" spans="1:7" x14ac:dyDescent="0.2">
      <c r="A31" t="str">
        <f>'R1b'!A31</f>
        <v>demYear2020</v>
      </c>
      <c r="B31">
        <f>'R1b'!B31</f>
        <v>-4.8458251214821196E-2</v>
      </c>
      <c r="D31" t="str">
        <f>'R1b_orig'!A31</f>
        <v>Y2020</v>
      </c>
      <c r="E31">
        <f>'R1b_orig'!B31</f>
        <v>-4.8458251214822126E-2</v>
      </c>
      <c r="G31" s="1">
        <f t="shared" si="0"/>
        <v>9.298117831235686E-16</v>
      </c>
    </row>
    <row r="32" spans="1:7" x14ac:dyDescent="0.2">
      <c r="A32" t="str">
        <f>'R1b'!A32</f>
        <v>demYear2021</v>
      </c>
      <c r="B32">
        <f>'R1b'!B32</f>
        <v>4.5910599123733915E-2</v>
      </c>
      <c r="D32" t="str">
        <f>'R1b_orig'!A32</f>
        <v>Y2021</v>
      </c>
      <c r="E32">
        <f>'R1b_orig'!B32</f>
        <v>4.5910599123733471E-2</v>
      </c>
      <c r="G32" s="1">
        <f t="shared" si="0"/>
        <v>4.4408920985006262E-16</v>
      </c>
    </row>
    <row r="33" spans="1:7" x14ac:dyDescent="0.2">
      <c r="A33" t="str">
        <f>'R1b'!A33</f>
        <v>demEthnC4Asian</v>
      </c>
      <c r="B33">
        <f>'R1b'!B33</f>
        <v>-0.10590208254224331</v>
      </c>
      <c r="D33" t="str">
        <f>'R1b_orig'!A33</f>
        <v>demEthnC4Asian</v>
      </c>
      <c r="E33">
        <f>'R1b_orig'!B33</f>
        <v>-0.10590208254224381</v>
      </c>
      <c r="G33" s="1">
        <f t="shared" si="0"/>
        <v>4.9960036108132044E-16</v>
      </c>
    </row>
    <row r="34" spans="1:7" x14ac:dyDescent="0.2">
      <c r="A34" t="str">
        <f>'R1b'!A34</f>
        <v>demEthnC4Black</v>
      </c>
      <c r="B34">
        <f>'R1b'!B34</f>
        <v>-0.496778825220408</v>
      </c>
      <c r="D34" t="str">
        <f>'R1b_orig'!A34</f>
        <v>demEthnC4Black</v>
      </c>
      <c r="E34">
        <f>'R1b_orig'!B34</f>
        <v>-0.49677882522040684</v>
      </c>
      <c r="G34" s="1">
        <f t="shared" si="0"/>
        <v>-1.1657341758564144E-15</v>
      </c>
    </row>
    <row r="35" spans="1:7" x14ac:dyDescent="0.2">
      <c r="A35" t="str">
        <f>'R1b'!A35</f>
        <v>demEthnC4Other</v>
      </c>
      <c r="B35">
        <f>'R1b'!B35</f>
        <v>-8.2511381363542233E-2</v>
      </c>
      <c r="D35" t="str">
        <f>'R1b_orig'!A35</f>
        <v>demEthnC4Other</v>
      </c>
      <c r="E35">
        <f>'R1b_orig'!B35</f>
        <v>-8.2511381363541442E-2</v>
      </c>
      <c r="G35" s="1">
        <f t="shared" si="0"/>
        <v>-7.9103390504542404E-16</v>
      </c>
    </row>
    <row r="36" spans="1:7" x14ac:dyDescent="0.2">
      <c r="A36" t="str">
        <f>'R1b'!A36</f>
        <v>Constant</v>
      </c>
      <c r="B36">
        <f>'R1b'!B36</f>
        <v>-28.895243439225112</v>
      </c>
      <c r="D36" t="str">
        <f>'R1b_orig'!A36</f>
        <v>Constant</v>
      </c>
      <c r="E36">
        <f>'R1b_orig'!B36</f>
        <v>-28.895243439223499</v>
      </c>
      <c r="G36" s="1">
        <f t="shared" si="0"/>
        <v>-1.6129320101754274E-12</v>
      </c>
    </row>
    <row r="37" spans="1:7" x14ac:dyDescent="0.2">
      <c r="G37" s="1"/>
    </row>
    <row r="38" spans="1:7" x14ac:dyDescent="0.2">
      <c r="G38" s="1"/>
    </row>
    <row r="39" spans="1:7" x14ac:dyDescent="0.2">
      <c r="G39" s="1"/>
    </row>
    <row r="40" spans="1:7" x14ac:dyDescent="0.2">
      <c r="G40" s="1"/>
    </row>
    <row r="41" spans="1:7" x14ac:dyDescent="0.2">
      <c r="G41" s="1"/>
    </row>
    <row r="42" spans="1:7" x14ac:dyDescent="0.2">
      <c r="G42" s="1"/>
    </row>
    <row r="43" spans="1:7" x14ac:dyDescent="0.2">
      <c r="G4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s="2" t="s">
        <v>0</v>
      </c>
      <c r="B1" t="s">
        <v>1</v>
      </c>
    </row>
    <row r="2" spans="1:2" x14ac:dyDescent="0.2">
      <c r="A2" t="s">
        <v>2</v>
      </c>
      <c r="B2" t="s">
        <v>39</v>
      </c>
    </row>
    <row r="3" spans="1:2" x14ac:dyDescent="0.2">
      <c r="A3" t="s">
        <v>40</v>
      </c>
    </row>
    <row r="5" spans="1:2" x14ac:dyDescent="0.2">
      <c r="A5" s="3" t="s">
        <v>3</v>
      </c>
      <c r="B5" s="4" t="s">
        <v>0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t="s">
        <v>7</v>
      </c>
    </row>
    <row r="10" spans="1:2" x14ac:dyDescent="0.2">
      <c r="A10" s="5" t="s">
        <v>8</v>
      </c>
      <c r="B10" t="s">
        <v>41</v>
      </c>
    </row>
    <row r="11" spans="1:2" x14ac:dyDescent="0.2">
      <c r="B11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/>
  </sheetViews>
  <sheetFormatPr baseColWidth="10" defaultColWidth="8.83203125" defaultRowHeight="15" x14ac:dyDescent="0.2"/>
  <sheetData>
    <row r="1" spans="1:6" x14ac:dyDescent="0.2">
      <c r="A1" s="6" t="s">
        <v>9</v>
      </c>
    </row>
    <row r="3" spans="1:6" x14ac:dyDescent="0.2">
      <c r="A3" s="7" t="s">
        <v>30</v>
      </c>
    </row>
    <row r="4" spans="1:6" x14ac:dyDescent="0.2">
      <c r="A4" t="s">
        <v>31</v>
      </c>
      <c r="B4">
        <v>0.22250921804627743</v>
      </c>
      <c r="E4" t="s">
        <v>33</v>
      </c>
      <c r="F4">
        <v>1642.7081619963692</v>
      </c>
    </row>
    <row r="5" spans="1:6" x14ac:dyDescent="0.2">
      <c r="A5" t="s">
        <v>32</v>
      </c>
      <c r="B5">
        <v>26159</v>
      </c>
      <c r="E5" t="s">
        <v>34</v>
      </c>
      <c r="F5">
        <v>-3449306.3533617309</v>
      </c>
    </row>
    <row r="7" spans="1:6" x14ac:dyDescent="0.2">
      <c r="A7" s="8" t="s">
        <v>38</v>
      </c>
    </row>
    <row r="8" spans="1:6" x14ac:dyDescent="0.2">
      <c r="A8" t="s">
        <v>31</v>
      </c>
      <c r="B8">
        <v>0.19955270749928211</v>
      </c>
      <c r="E8" t="s">
        <v>33</v>
      </c>
      <c r="F8">
        <v>3031.9477253780969</v>
      </c>
    </row>
    <row r="9" spans="1:6" x14ac:dyDescent="0.2">
      <c r="A9" t="s">
        <v>32</v>
      </c>
      <c r="B9">
        <v>60543</v>
      </c>
      <c r="E9" t="s">
        <v>34</v>
      </c>
      <c r="F9">
        <v>-9142194.1513341088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3"/>
  <sheetViews>
    <sheetView workbookViewId="0"/>
  </sheetViews>
  <sheetFormatPr baseColWidth="10" defaultColWidth="8.83203125" defaultRowHeight="15" x14ac:dyDescent="0.2"/>
  <sheetData>
    <row r="1" spans="1:34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26</v>
      </c>
      <c r="AC1" t="s">
        <v>27</v>
      </c>
      <c r="AD1" t="s">
        <v>28</v>
      </c>
      <c r="AE1" t="s">
        <v>70</v>
      </c>
      <c r="AF1" t="s">
        <v>71</v>
      </c>
      <c r="AG1" t="s">
        <v>72</v>
      </c>
      <c r="AH1" t="s">
        <v>29</v>
      </c>
    </row>
    <row r="2" spans="1:34" x14ac:dyDescent="0.2">
      <c r="A2" t="s">
        <v>12</v>
      </c>
      <c r="B2">
        <v>0.10737056546630452</v>
      </c>
      <c r="C2">
        <v>1.6857460054971486E-3</v>
      </c>
      <c r="D2">
        <v>-1.2153515527800962E-4</v>
      </c>
      <c r="E2">
        <v>8.2154031492805886E-7</v>
      </c>
      <c r="F2">
        <v>-4.0469963868110313E-4</v>
      </c>
      <c r="G2">
        <v>-5.543828608367185E-4</v>
      </c>
      <c r="H2">
        <v>8.4260365890882963E-6</v>
      </c>
      <c r="I2">
        <v>-4.4386836146685483E-6</v>
      </c>
      <c r="J2">
        <v>4.7725993084662884E-4</v>
      </c>
      <c r="K2">
        <v>-4.4952064074565349E-4</v>
      </c>
      <c r="L2">
        <v>1.6805615926401471E-4</v>
      </c>
      <c r="M2">
        <v>-8.3083020342603975E-5</v>
      </c>
      <c r="N2">
        <v>-2.4956895152097652E-4</v>
      </c>
      <c r="O2">
        <v>-1.2617963506758366E-3</v>
      </c>
      <c r="P2">
        <v>4.1192585624009082E-4</v>
      </c>
      <c r="Q2">
        <v>-1.2400506007799546E-3</v>
      </c>
      <c r="R2">
        <v>-1.7529792355953011E-3</v>
      </c>
      <c r="S2">
        <v>-1.1044162876283749E-3</v>
      </c>
      <c r="T2">
        <v>-1.3855037154987524E-3</v>
      </c>
      <c r="U2">
        <v>-9.2358436188245008E-4</v>
      </c>
      <c r="V2">
        <v>-1.0197156011622259E-3</v>
      </c>
      <c r="W2">
        <v>-1.1201294848245586E-3</v>
      </c>
      <c r="X2">
        <v>-1.2167530673548356E-3</v>
      </c>
      <c r="Y2">
        <v>-1.1614333715443189E-3</v>
      </c>
      <c r="Z2">
        <v>-1.224999179292119E-3</v>
      </c>
      <c r="AA2">
        <v>-7.6383403049572803E-4</v>
      </c>
      <c r="AB2">
        <v>-4.8573611273704503E-6</v>
      </c>
      <c r="AC2">
        <v>1.6564790831335302E-4</v>
      </c>
      <c r="AD2">
        <v>2.0477687701145743E-4</v>
      </c>
      <c r="AE2">
        <v>-2.0770196617957907E-4</v>
      </c>
      <c r="AF2">
        <v>-4.2528204499784131E-3</v>
      </c>
      <c r="AG2">
        <v>-4.7613401370414857E-4</v>
      </c>
      <c r="AH2">
        <v>5.2508962943488349E-3</v>
      </c>
    </row>
    <row r="3" spans="1:34" x14ac:dyDescent="0.2">
      <c r="A3" t="s">
        <v>13</v>
      </c>
      <c r="B3">
        <v>0.52454491039571405</v>
      </c>
      <c r="C3">
        <v>-1.2153515527800962E-4</v>
      </c>
      <c r="D3">
        <v>1.8044389694269023E-3</v>
      </c>
      <c r="E3">
        <v>-1.4071896125181003E-5</v>
      </c>
      <c r="F3">
        <v>-1.7717214785353125E-5</v>
      </c>
      <c r="G3">
        <v>-3.5713878284288764E-5</v>
      </c>
      <c r="H3">
        <v>5.6715851337889225E-7</v>
      </c>
      <c r="I3">
        <v>1.8990723775139112E-6</v>
      </c>
      <c r="J3">
        <v>-1.9329990414536195E-4</v>
      </c>
      <c r="K3">
        <v>8.9292078511464187E-4</v>
      </c>
      <c r="L3">
        <v>2.7499527209591361E-4</v>
      </c>
      <c r="M3">
        <v>4.0311869605325762E-4</v>
      </c>
      <c r="N3">
        <v>4.2373908338521477E-4</v>
      </c>
      <c r="O3">
        <v>5.4067845795042341E-4</v>
      </c>
      <c r="P3">
        <v>-3.7847685749588592E-4</v>
      </c>
      <c r="Q3">
        <v>1.9799251474107021E-4</v>
      </c>
      <c r="R3">
        <v>2.0179938609421466E-4</v>
      </c>
      <c r="S3">
        <v>5.3164751288393985E-5</v>
      </c>
      <c r="T3">
        <v>7.9164708420322027E-5</v>
      </c>
      <c r="U3">
        <v>1.7724003109103811E-4</v>
      </c>
      <c r="V3">
        <v>1.2868067162260383E-4</v>
      </c>
      <c r="W3">
        <v>2.3916827055348727E-4</v>
      </c>
      <c r="X3">
        <v>1.8580140151078922E-4</v>
      </c>
      <c r="Y3">
        <v>2.2742005356483908E-4</v>
      </c>
      <c r="Z3">
        <v>1.9214793354502963E-4</v>
      </c>
      <c r="AA3">
        <v>1.0339785869556417E-4</v>
      </c>
      <c r="AB3">
        <v>-7.6627498652136194E-6</v>
      </c>
      <c r="AC3">
        <v>-6.2915257272453534E-5</v>
      </c>
      <c r="AD3">
        <v>-8.3291934346377272E-6</v>
      </c>
      <c r="AE3">
        <v>-2.2987420629625582E-4</v>
      </c>
      <c r="AF3">
        <v>8.9560178827829962E-5</v>
      </c>
      <c r="AG3">
        <v>-3.2768084041807037E-5</v>
      </c>
      <c r="AH3">
        <v>-5.7821831565212534E-2</v>
      </c>
    </row>
    <row r="4" spans="1:34" x14ac:dyDescent="0.2">
      <c r="A4" t="s">
        <v>14</v>
      </c>
      <c r="B4">
        <v>-3.6750678807111825E-3</v>
      </c>
      <c r="C4">
        <v>8.2154031492805886E-7</v>
      </c>
      <c r="D4">
        <v>-1.4071896125181003E-5</v>
      </c>
      <c r="E4">
        <v>1.110687376315421E-7</v>
      </c>
      <c r="F4">
        <v>4.6151066500935102E-8</v>
      </c>
      <c r="G4">
        <v>4.4842654255117763E-8</v>
      </c>
      <c r="H4">
        <v>2.6807243782458985E-10</v>
      </c>
      <c r="I4">
        <v>-2.0981996044311266E-8</v>
      </c>
      <c r="J4">
        <v>-5.4191886540995546E-8</v>
      </c>
      <c r="K4">
        <v>-7.6806941233276442E-6</v>
      </c>
      <c r="L4">
        <v>-2.5428085677659142E-6</v>
      </c>
      <c r="M4">
        <v>-3.6054997782923495E-6</v>
      </c>
      <c r="N4">
        <v>-3.6614599164522981E-6</v>
      </c>
      <c r="O4">
        <v>-4.6943075488097626E-6</v>
      </c>
      <c r="P4">
        <v>3.5999995982045473E-6</v>
      </c>
      <c r="Q4">
        <v>-1.4852569615793104E-6</v>
      </c>
      <c r="R4">
        <v>-1.8791101347659855E-6</v>
      </c>
      <c r="S4">
        <v>-5.5109245809207424E-7</v>
      </c>
      <c r="T4">
        <v>-6.4763107064235315E-7</v>
      </c>
      <c r="U4">
        <v>-1.4451342232765741E-6</v>
      </c>
      <c r="V4">
        <v>-1.0873565336607608E-6</v>
      </c>
      <c r="W4">
        <v>-1.8055250573838699E-6</v>
      </c>
      <c r="X4">
        <v>-1.5645936441110965E-6</v>
      </c>
      <c r="Y4">
        <v>-2.2392598662438834E-6</v>
      </c>
      <c r="Z4">
        <v>-1.6148000119776593E-6</v>
      </c>
      <c r="AA4">
        <v>-1.1530581094214027E-6</v>
      </c>
      <c r="AB4">
        <v>3.2748816298345087E-9</v>
      </c>
      <c r="AC4">
        <v>5.9240493379826803E-7</v>
      </c>
      <c r="AD4">
        <v>2.3104758817488798E-8</v>
      </c>
      <c r="AE4">
        <v>2.0589366338501637E-6</v>
      </c>
      <c r="AF4">
        <v>-1.6163623328489113E-6</v>
      </c>
      <c r="AG4">
        <v>1.6358384404269158E-7</v>
      </c>
      <c r="AH4">
        <v>4.4811652379675893E-4</v>
      </c>
    </row>
    <row r="5" spans="1:34" x14ac:dyDescent="0.2">
      <c r="A5" t="s">
        <v>15</v>
      </c>
      <c r="B5">
        <v>-5.6978641891232855E-2</v>
      </c>
      <c r="C5">
        <v>-4.0469963868110313E-4</v>
      </c>
      <c r="D5">
        <v>-1.7717214785353125E-5</v>
      </c>
      <c r="E5">
        <v>4.6151066500935102E-8</v>
      </c>
      <c r="F5">
        <v>2.8659181502855347E-3</v>
      </c>
      <c r="G5">
        <v>2.2682912610286518E-3</v>
      </c>
      <c r="H5">
        <v>-2.8680903795445625E-5</v>
      </c>
      <c r="I5">
        <v>-1.622672990568362E-5</v>
      </c>
      <c r="J5">
        <v>2.1226453854719153E-4</v>
      </c>
      <c r="K5">
        <v>5.9022742568898116E-4</v>
      </c>
      <c r="L5">
        <v>-3.1295893523230751E-4</v>
      </c>
      <c r="M5">
        <v>3.3529631466701771E-4</v>
      </c>
      <c r="N5">
        <v>5.565913893199729E-4</v>
      </c>
      <c r="O5">
        <v>2.2267248504984211E-3</v>
      </c>
      <c r="P5">
        <v>-8.1718167609263277E-4</v>
      </c>
      <c r="Q5">
        <v>1.2931939006854346E-3</v>
      </c>
      <c r="R5">
        <v>2.7084558375286318E-3</v>
      </c>
      <c r="S5">
        <v>1.7761513120647457E-3</v>
      </c>
      <c r="T5">
        <v>1.4529282599344837E-3</v>
      </c>
      <c r="U5">
        <v>1.1663657908983671E-3</v>
      </c>
      <c r="V5">
        <v>1.3356612749603307E-3</v>
      </c>
      <c r="W5">
        <v>1.6427530023334161E-3</v>
      </c>
      <c r="X5">
        <v>1.6618138205498148E-3</v>
      </c>
      <c r="Y5">
        <v>1.7502671913800611E-3</v>
      </c>
      <c r="Z5">
        <v>1.4903046442212465E-3</v>
      </c>
      <c r="AA5">
        <v>2.0919809217896045E-3</v>
      </c>
      <c r="AB5">
        <v>3.5848400819560024E-5</v>
      </c>
      <c r="AC5">
        <v>-1.8710326232144222E-4</v>
      </c>
      <c r="AD5">
        <v>-1.1999236476009016E-4</v>
      </c>
      <c r="AE5">
        <v>6.2365683926949938E-4</v>
      </c>
      <c r="AF5">
        <v>7.6051332064854295E-3</v>
      </c>
      <c r="AG5">
        <v>3.8684777698519651E-4</v>
      </c>
      <c r="AH5">
        <v>-1.8192579281988844E-3</v>
      </c>
    </row>
    <row r="6" spans="1:34" x14ac:dyDescent="0.2">
      <c r="A6" t="s">
        <v>16</v>
      </c>
      <c r="B6">
        <v>-8.1493431594563653E-2</v>
      </c>
      <c r="C6">
        <v>-5.543828608367185E-4</v>
      </c>
      <c r="D6">
        <v>-3.5713878284288764E-5</v>
      </c>
      <c r="E6">
        <v>4.4842654255117763E-8</v>
      </c>
      <c r="F6">
        <v>2.2682912610286518E-3</v>
      </c>
      <c r="G6">
        <v>3.6882951250032017E-3</v>
      </c>
      <c r="H6">
        <v>-1.9994871302974383E-5</v>
      </c>
      <c r="I6">
        <v>-7.2654009765881366E-6</v>
      </c>
      <c r="J6">
        <v>3.7334999079857267E-4</v>
      </c>
      <c r="K6">
        <v>7.0777474133959224E-4</v>
      </c>
      <c r="L6">
        <v>4.1664123801730436E-5</v>
      </c>
      <c r="M6">
        <v>7.8198695814201953E-4</v>
      </c>
      <c r="N6">
        <v>1.1166743283142404E-3</v>
      </c>
      <c r="O6">
        <v>2.7102445330312603E-3</v>
      </c>
      <c r="P6">
        <v>-7.2765040284603088E-4</v>
      </c>
      <c r="Q6">
        <v>9.8886710158733863E-4</v>
      </c>
      <c r="R6">
        <v>2.1788963811874345E-3</v>
      </c>
      <c r="S6">
        <v>1.5132251795556247E-3</v>
      </c>
      <c r="T6">
        <v>1.0013006414027927E-3</v>
      </c>
      <c r="U6">
        <v>9.8877265442825287E-4</v>
      </c>
      <c r="V6">
        <v>1.0799635905760058E-3</v>
      </c>
      <c r="W6">
        <v>1.160230007237613E-3</v>
      </c>
      <c r="X6">
        <v>1.250057031155487E-3</v>
      </c>
      <c r="Y6">
        <v>1.0840893212603472E-3</v>
      </c>
      <c r="Z6">
        <v>1.1387451358837628E-3</v>
      </c>
      <c r="AA6">
        <v>6.2501823023443088E-4</v>
      </c>
      <c r="AB6">
        <v>5.1210280682676258E-5</v>
      </c>
      <c r="AC6">
        <v>-7.440567421341561E-5</v>
      </c>
      <c r="AD6">
        <v>2.0963647012247765E-4</v>
      </c>
      <c r="AE6">
        <v>1.0525128930705954E-4</v>
      </c>
      <c r="AF6">
        <v>6.8419731188036192E-3</v>
      </c>
      <c r="AG6">
        <v>5.2570244195465068E-4</v>
      </c>
      <c r="AH6">
        <v>-1.9271281528022224E-3</v>
      </c>
    </row>
    <row r="7" spans="1:34" x14ac:dyDescent="0.2">
      <c r="A7" t="s">
        <v>17</v>
      </c>
      <c r="B7">
        <v>-3.7952887242513871E-3</v>
      </c>
      <c r="C7">
        <v>8.4260365890882963E-6</v>
      </c>
      <c r="D7">
        <v>5.6715851337889225E-7</v>
      </c>
      <c r="E7">
        <v>2.6807243782458985E-10</v>
      </c>
      <c r="F7">
        <v>-2.8680903795445625E-5</v>
      </c>
      <c r="G7">
        <v>-1.9994871302974383E-5</v>
      </c>
      <c r="H7">
        <v>4.0379346545994974E-6</v>
      </c>
      <c r="I7">
        <v>6.3229310787927266E-7</v>
      </c>
      <c r="J7">
        <v>-7.5256200605141438E-6</v>
      </c>
      <c r="K7">
        <v>-2.0794992174683128E-6</v>
      </c>
      <c r="L7">
        <v>1.05741953197911E-6</v>
      </c>
      <c r="M7">
        <v>-1.7869099562359809E-5</v>
      </c>
      <c r="N7">
        <v>-1.5708443498078288E-5</v>
      </c>
      <c r="O7">
        <v>-7.1170358320222395E-5</v>
      </c>
      <c r="P7">
        <v>6.4334052587971247E-5</v>
      </c>
      <c r="Q7">
        <v>-6.0411349233729027E-5</v>
      </c>
      <c r="R7">
        <v>-1.0723041299715762E-4</v>
      </c>
      <c r="S7">
        <v>-5.3994170794658268E-5</v>
      </c>
      <c r="T7">
        <v>-6.2662108654400477E-5</v>
      </c>
      <c r="U7">
        <v>-4.7611169507054283E-5</v>
      </c>
      <c r="V7">
        <v>-5.8374011667968601E-5</v>
      </c>
      <c r="W7">
        <v>-5.1738093082697608E-5</v>
      </c>
      <c r="X7">
        <v>-6.6547871275552531E-5</v>
      </c>
      <c r="Y7">
        <v>-7.2590005614540619E-5</v>
      </c>
      <c r="Z7">
        <v>-6.9044194975464578E-5</v>
      </c>
      <c r="AA7">
        <v>-8.3551933869532933E-5</v>
      </c>
      <c r="AB7">
        <v>-1.0073425169871772E-6</v>
      </c>
      <c r="AC7">
        <v>1.3133144856999223E-5</v>
      </c>
      <c r="AD7">
        <v>1.3482190978087068E-5</v>
      </c>
      <c r="AE7">
        <v>-2.0425349189081874E-5</v>
      </c>
      <c r="AF7">
        <v>-2.7453029369289687E-4</v>
      </c>
      <c r="AG7">
        <v>-1.1501145960014841E-5</v>
      </c>
      <c r="AH7">
        <v>-1.4289522462194006E-4</v>
      </c>
    </row>
    <row r="8" spans="1:34" x14ac:dyDescent="0.2">
      <c r="A8" t="s">
        <v>18</v>
      </c>
      <c r="B8">
        <v>-5.1167218877559836E-4</v>
      </c>
      <c r="C8">
        <v>-4.4386836146685483E-6</v>
      </c>
      <c r="D8">
        <v>1.8990723775139112E-6</v>
      </c>
      <c r="E8">
        <v>-2.0981996044311266E-8</v>
      </c>
      <c r="F8">
        <v>-1.622672990568362E-5</v>
      </c>
      <c r="G8">
        <v>-7.2654009765881366E-6</v>
      </c>
      <c r="H8">
        <v>6.3229310787927266E-7</v>
      </c>
      <c r="I8">
        <v>3.3365310498019166E-6</v>
      </c>
      <c r="J8">
        <v>-1.1991324995977715E-5</v>
      </c>
      <c r="K8">
        <v>-6.6390678360401997E-6</v>
      </c>
      <c r="L8">
        <v>9.090579679166389E-6</v>
      </c>
      <c r="M8">
        <v>-1.3565676684385863E-5</v>
      </c>
      <c r="N8">
        <v>-1.6173409185714414E-5</v>
      </c>
      <c r="O8">
        <v>-2.6029853321416543E-5</v>
      </c>
      <c r="P8">
        <v>2.9861717096397742E-5</v>
      </c>
      <c r="Q8">
        <v>-2.3195700718185066E-5</v>
      </c>
      <c r="R8">
        <v>-3.1988711752061686E-5</v>
      </c>
      <c r="S8">
        <v>-2.2160396650343746E-5</v>
      </c>
      <c r="T8">
        <v>-3.2324372041103163E-5</v>
      </c>
      <c r="U8">
        <v>-2.2342797700028913E-5</v>
      </c>
      <c r="V8">
        <v>-2.95864866787699E-5</v>
      </c>
      <c r="W8">
        <v>-2.6505567544649262E-5</v>
      </c>
      <c r="X8">
        <v>-3.0681303364617538E-5</v>
      </c>
      <c r="Y8">
        <v>-3.2401057453476618E-5</v>
      </c>
      <c r="Z8">
        <v>-2.8728158133210031E-5</v>
      </c>
      <c r="AA8">
        <v>-5.1641255890123383E-5</v>
      </c>
      <c r="AB8">
        <v>1.3414489287718757E-6</v>
      </c>
      <c r="AC8">
        <v>3.7435135247521214E-6</v>
      </c>
      <c r="AD8">
        <v>9.2191196016252423E-7</v>
      </c>
      <c r="AE8">
        <v>-1.8325109982246344E-5</v>
      </c>
      <c r="AF8">
        <v>-4.1991523566375054E-5</v>
      </c>
      <c r="AG8">
        <v>-2.2058161436381325E-6</v>
      </c>
      <c r="AH8">
        <v>-1.9698256870561445E-4</v>
      </c>
    </row>
    <row r="9" spans="1:34" x14ac:dyDescent="0.2">
      <c r="A9" t="s">
        <v>19</v>
      </c>
      <c r="B9">
        <v>0.77485627980638683</v>
      </c>
      <c r="C9">
        <v>4.7725993084662884E-4</v>
      </c>
      <c r="D9">
        <v>-1.9329990414536195E-4</v>
      </c>
      <c r="E9">
        <v>-5.4191886540995546E-8</v>
      </c>
      <c r="F9">
        <v>2.1226453854719153E-4</v>
      </c>
      <c r="G9">
        <v>3.7334999079857267E-4</v>
      </c>
      <c r="H9">
        <v>-7.5256200605141438E-6</v>
      </c>
      <c r="I9">
        <v>-1.1991324995977715E-5</v>
      </c>
      <c r="J9">
        <v>3.6900126391370058E-3</v>
      </c>
      <c r="K9">
        <v>1.0268076378402591E-3</v>
      </c>
      <c r="L9">
        <v>7.7120558749456825E-5</v>
      </c>
      <c r="M9">
        <v>4.3651690373798513E-4</v>
      </c>
      <c r="N9">
        <v>5.5115819974844819E-4</v>
      </c>
      <c r="O9">
        <v>4.5876997706865638E-4</v>
      </c>
      <c r="P9">
        <v>-4.5504695224504559E-4</v>
      </c>
      <c r="Q9">
        <v>-1.2226850758684932E-4</v>
      </c>
      <c r="R9">
        <v>-5.6157094868496127E-5</v>
      </c>
      <c r="S9">
        <v>4.2123989987206956E-4</v>
      </c>
      <c r="T9">
        <v>1.0328307391964386E-4</v>
      </c>
      <c r="U9">
        <v>2.2656234990275741E-4</v>
      </c>
      <c r="V9">
        <v>2.4471973266356785E-4</v>
      </c>
      <c r="W9">
        <v>-2.3721702735201612E-4</v>
      </c>
      <c r="X9">
        <v>-4.1340047195628435E-5</v>
      </c>
      <c r="Y9">
        <v>3.0256220723962751E-4</v>
      </c>
      <c r="Z9">
        <v>1.4507101567128554E-4</v>
      </c>
      <c r="AA9">
        <v>2.951179441936444E-4</v>
      </c>
      <c r="AB9">
        <v>6.8971472579673013E-5</v>
      </c>
      <c r="AC9">
        <v>2.0365020453234212E-5</v>
      </c>
      <c r="AD9">
        <v>4.6454673486969258E-4</v>
      </c>
      <c r="AE9">
        <v>-1.0236073386579812E-4</v>
      </c>
      <c r="AF9">
        <v>-8.797205012447129E-4</v>
      </c>
      <c r="AG9">
        <v>5.3942006834991371E-4</v>
      </c>
      <c r="AH9">
        <v>9.4577726645010962E-3</v>
      </c>
    </row>
    <row r="10" spans="1:34" x14ac:dyDescent="0.2">
      <c r="A10" t="s">
        <v>20</v>
      </c>
      <c r="B10">
        <v>0.62918171366625752</v>
      </c>
      <c r="C10">
        <v>-4.4952064074565349E-4</v>
      </c>
      <c r="D10">
        <v>8.9292078511464187E-4</v>
      </c>
      <c r="E10">
        <v>-7.6806941233276442E-6</v>
      </c>
      <c r="F10">
        <v>5.9022742568898116E-4</v>
      </c>
      <c r="G10">
        <v>7.0777474133959224E-4</v>
      </c>
      <c r="H10">
        <v>-2.0794992174683128E-6</v>
      </c>
      <c r="I10">
        <v>-6.6390678360401997E-6</v>
      </c>
      <c r="J10">
        <v>1.0268076378402591E-3</v>
      </c>
      <c r="K10">
        <v>8.9660276791552317E-3</v>
      </c>
      <c r="L10">
        <v>1.7141716509603208E-3</v>
      </c>
      <c r="M10">
        <v>7.0405851016926086E-3</v>
      </c>
      <c r="N10">
        <v>7.4754929104323539E-3</v>
      </c>
      <c r="O10">
        <v>7.5868447877452116E-3</v>
      </c>
      <c r="P10">
        <v>-1.8494852122498615E-3</v>
      </c>
      <c r="Q10">
        <v>1.3157310960073137E-3</v>
      </c>
      <c r="R10">
        <v>1.3591066915660532E-3</v>
      </c>
      <c r="S10">
        <v>1.1618053842541338E-3</v>
      </c>
      <c r="T10">
        <v>1.2447900965642765E-3</v>
      </c>
      <c r="U10">
        <v>1.617466119521814E-3</v>
      </c>
      <c r="V10">
        <v>1.4262037967368649E-3</v>
      </c>
      <c r="W10">
        <v>1.4231163195201936E-3</v>
      </c>
      <c r="X10">
        <v>1.2965759536085059E-3</v>
      </c>
      <c r="Y10">
        <v>2.09744157518248E-3</v>
      </c>
      <c r="Z10">
        <v>1.2898168764578118E-3</v>
      </c>
      <c r="AA10">
        <v>9.4623897970370907E-4</v>
      </c>
      <c r="AB10">
        <v>-3.7619499608744153E-5</v>
      </c>
      <c r="AC10">
        <v>2.4251057849187033E-4</v>
      </c>
      <c r="AD10">
        <v>4.8964008701453399E-4</v>
      </c>
      <c r="AE10">
        <v>-2.2052215545243989E-4</v>
      </c>
      <c r="AF10">
        <v>-8.5812201510465647E-4</v>
      </c>
      <c r="AG10">
        <v>2.807657463479544E-4</v>
      </c>
      <c r="AH10">
        <v>-3.412094008266052E-2</v>
      </c>
    </row>
    <row r="11" spans="1:34" x14ac:dyDescent="0.2">
      <c r="A11" t="s">
        <v>21</v>
      </c>
      <c r="B11">
        <v>7.454985831875581E-2</v>
      </c>
      <c r="C11">
        <v>1.6805615926401471E-4</v>
      </c>
      <c r="D11">
        <v>2.7499527209591361E-4</v>
      </c>
      <c r="E11">
        <v>-2.5428085677659142E-6</v>
      </c>
      <c r="F11">
        <v>-3.1295893523230751E-4</v>
      </c>
      <c r="G11">
        <v>4.1664123801730436E-5</v>
      </c>
      <c r="H11">
        <v>1.05741953197911E-6</v>
      </c>
      <c r="I11">
        <v>9.090579679166389E-6</v>
      </c>
      <c r="J11">
        <v>7.7120558749456825E-5</v>
      </c>
      <c r="K11">
        <v>1.7141716509603208E-3</v>
      </c>
      <c r="L11">
        <v>4.3672175594210352E-3</v>
      </c>
      <c r="M11">
        <v>3.2305340721174225E-3</v>
      </c>
      <c r="N11">
        <v>3.1371758163401668E-3</v>
      </c>
      <c r="O11">
        <v>2.8322877684069676E-3</v>
      </c>
      <c r="P11">
        <v>7.8825359196535612E-5</v>
      </c>
      <c r="Q11">
        <v>-7.3305771019305027E-4</v>
      </c>
      <c r="R11">
        <v>-7.6691698080254972E-4</v>
      </c>
      <c r="S11">
        <v>-7.0918957247137655E-4</v>
      </c>
      <c r="T11">
        <v>-1.0254101384216917E-3</v>
      </c>
      <c r="U11">
        <v>-8.2881089801337994E-4</v>
      </c>
      <c r="V11">
        <v>-1.0346571724186441E-3</v>
      </c>
      <c r="W11">
        <v>-1.061382905775786E-3</v>
      </c>
      <c r="X11">
        <v>-8.7709621284346286E-4</v>
      </c>
      <c r="Y11">
        <v>-2.3091163573573607E-4</v>
      </c>
      <c r="Z11">
        <v>-5.836390778976696E-4</v>
      </c>
      <c r="AA11">
        <v>-1.4329705759953855E-3</v>
      </c>
      <c r="AB11">
        <v>3.9903478823386743E-5</v>
      </c>
      <c r="AC11">
        <v>-1.3441061572493909E-4</v>
      </c>
      <c r="AD11">
        <v>4.591540869328635E-5</v>
      </c>
      <c r="AE11">
        <v>-5.3505122811263982E-4</v>
      </c>
      <c r="AF11">
        <v>-1.9201081749704862E-3</v>
      </c>
      <c r="AG11">
        <v>-9.6384816120808606E-4</v>
      </c>
      <c r="AH11">
        <v>-1.0667054868579297E-2</v>
      </c>
    </row>
    <row r="12" spans="1:34" x14ac:dyDescent="0.2">
      <c r="A12" t="s">
        <v>22</v>
      </c>
      <c r="B12">
        <v>7.0393091359042564E-2</v>
      </c>
      <c r="C12">
        <v>-8.3083020342603975E-5</v>
      </c>
      <c r="D12">
        <v>4.0311869605325762E-4</v>
      </c>
      <c r="E12">
        <v>-3.6054997782923495E-6</v>
      </c>
      <c r="F12">
        <v>3.3529631466701771E-4</v>
      </c>
      <c r="G12">
        <v>7.8198695814201953E-4</v>
      </c>
      <c r="H12">
        <v>-1.7869099562359809E-5</v>
      </c>
      <c r="I12">
        <v>-1.3565676684385863E-5</v>
      </c>
      <c r="J12">
        <v>4.3651690373798513E-4</v>
      </c>
      <c r="K12">
        <v>7.0405851016926086E-3</v>
      </c>
      <c r="L12">
        <v>3.2305340721174225E-3</v>
      </c>
      <c r="M12">
        <v>1.0473604107476582E-2</v>
      </c>
      <c r="N12">
        <v>9.0469323202673965E-3</v>
      </c>
      <c r="O12">
        <v>9.0642255094062815E-3</v>
      </c>
      <c r="P12">
        <v>5.5750987780827863E-4</v>
      </c>
      <c r="Q12">
        <v>3.4027327611420299E-4</v>
      </c>
      <c r="R12">
        <v>3.5296343525887189E-4</v>
      </c>
      <c r="S12">
        <v>2.9777230151306882E-4</v>
      </c>
      <c r="T12">
        <v>3.1847121521928496E-4</v>
      </c>
      <c r="U12">
        <v>7.0564701151741311E-4</v>
      </c>
      <c r="V12">
        <v>4.9057592197299278E-4</v>
      </c>
      <c r="W12">
        <v>4.2688798961176746E-4</v>
      </c>
      <c r="X12">
        <v>7.2513678301650182E-4</v>
      </c>
      <c r="Y12">
        <v>1.001017351993946E-3</v>
      </c>
      <c r="Z12">
        <v>6.0840625022519183E-4</v>
      </c>
      <c r="AA12">
        <v>-1.1198313090940784E-5</v>
      </c>
      <c r="AB12">
        <v>-3.8332909936301951E-5</v>
      </c>
      <c r="AC12">
        <v>3.9491453755743661E-4</v>
      </c>
      <c r="AD12">
        <v>5.4097880569757215E-4</v>
      </c>
      <c r="AE12">
        <v>7.0063799912900224E-5</v>
      </c>
      <c r="AF12">
        <v>-1.0449402298663146E-3</v>
      </c>
      <c r="AG12">
        <v>-6.7502637613633769E-4</v>
      </c>
      <c r="AH12">
        <v>-1.8937269770191029E-2</v>
      </c>
    </row>
    <row r="13" spans="1:34" x14ac:dyDescent="0.2">
      <c r="A13" t="s">
        <v>23</v>
      </c>
      <c r="B13">
        <v>0.11449327643682625</v>
      </c>
      <c r="C13">
        <v>-2.4956895152097652E-4</v>
      </c>
      <c r="D13">
        <v>4.2373908338521477E-4</v>
      </c>
      <c r="E13">
        <v>-3.6614599164522981E-6</v>
      </c>
      <c r="F13">
        <v>5.565913893199729E-4</v>
      </c>
      <c r="G13">
        <v>1.1166743283142404E-3</v>
      </c>
      <c r="H13">
        <v>-1.5708443498078288E-5</v>
      </c>
      <c r="I13">
        <v>-1.6173409185714414E-5</v>
      </c>
      <c r="J13">
        <v>5.5115819974844819E-4</v>
      </c>
      <c r="K13">
        <v>7.4754929104323539E-3</v>
      </c>
      <c r="L13">
        <v>3.1371758163401668E-3</v>
      </c>
      <c r="M13">
        <v>9.0469323202673965E-3</v>
      </c>
      <c r="N13">
        <v>1.091263165816408E-2</v>
      </c>
      <c r="O13">
        <v>9.5794160971229489E-3</v>
      </c>
      <c r="P13">
        <v>5.3117604113698397E-4</v>
      </c>
      <c r="Q13">
        <v>1.0900050903663496E-3</v>
      </c>
      <c r="R13">
        <v>1.0192459785640373E-3</v>
      </c>
      <c r="S13">
        <v>1.1163844476577978E-3</v>
      </c>
      <c r="T13">
        <v>8.0666957241387876E-4</v>
      </c>
      <c r="U13">
        <v>1.1847738146293077E-3</v>
      </c>
      <c r="V13">
        <v>1.1480010080189285E-3</v>
      </c>
      <c r="W13">
        <v>1.2347180459696041E-3</v>
      </c>
      <c r="X13">
        <v>1.1256431567057586E-3</v>
      </c>
      <c r="Y13">
        <v>1.3622991340049451E-3</v>
      </c>
      <c r="Z13">
        <v>9.8301849700537826E-4</v>
      </c>
      <c r="AA13">
        <v>5.6322843189477584E-4</v>
      </c>
      <c r="AB13">
        <v>-6.3220452542747533E-5</v>
      </c>
      <c r="AC13">
        <v>4.9785346587575153E-4</v>
      </c>
      <c r="AD13">
        <v>6.9399055150905567E-4</v>
      </c>
      <c r="AE13">
        <v>2.6871663783609688E-4</v>
      </c>
      <c r="AF13">
        <v>-7.2808524687928422E-4</v>
      </c>
      <c r="AG13">
        <v>-3.9519406770704952E-4</v>
      </c>
      <c r="AH13">
        <v>-2.0667478881057133E-2</v>
      </c>
    </row>
    <row r="14" spans="1:34" x14ac:dyDescent="0.2">
      <c r="A14" t="s">
        <v>24</v>
      </c>
      <c r="B14">
        <v>0.31890394871273403</v>
      </c>
      <c r="C14">
        <v>-1.2617963506758366E-3</v>
      </c>
      <c r="D14">
        <v>5.4067845795042341E-4</v>
      </c>
      <c r="E14">
        <v>-4.6943075488097626E-6</v>
      </c>
      <c r="F14">
        <v>2.2267248504984211E-3</v>
      </c>
      <c r="G14">
        <v>2.7102445330312603E-3</v>
      </c>
      <c r="H14">
        <v>-7.1170358320222395E-5</v>
      </c>
      <c r="I14">
        <v>-2.6029853321416543E-5</v>
      </c>
      <c r="J14">
        <v>4.5876997706865638E-4</v>
      </c>
      <c r="K14">
        <v>7.5868447877452116E-3</v>
      </c>
      <c r="L14">
        <v>2.8322877684069676E-3</v>
      </c>
      <c r="M14">
        <v>9.0642255094062815E-3</v>
      </c>
      <c r="N14">
        <v>9.5794160971229489E-3</v>
      </c>
      <c r="O14">
        <v>1.3938592499290426E-2</v>
      </c>
      <c r="P14">
        <v>-6.5499803455404577E-4</v>
      </c>
      <c r="Q14">
        <v>4.3594579022981066E-3</v>
      </c>
      <c r="R14">
        <v>7.2128979928207521E-3</v>
      </c>
      <c r="S14">
        <v>4.1352576810077223E-3</v>
      </c>
      <c r="T14">
        <v>4.391717344995421E-3</v>
      </c>
      <c r="U14">
        <v>3.8166728555606294E-3</v>
      </c>
      <c r="V14">
        <v>3.9131701462415507E-3</v>
      </c>
      <c r="W14">
        <v>4.0911048381725018E-3</v>
      </c>
      <c r="X14">
        <v>4.7188052095169311E-3</v>
      </c>
      <c r="Y14">
        <v>4.9570218174342442E-3</v>
      </c>
      <c r="Z14">
        <v>4.4140177512365965E-3</v>
      </c>
      <c r="AA14">
        <v>4.13475569708684E-3</v>
      </c>
      <c r="AB14">
        <v>2.7354484483448852E-5</v>
      </c>
      <c r="AC14">
        <v>-2.03278942631651E-4</v>
      </c>
      <c r="AD14">
        <v>-4.3574259696477213E-5</v>
      </c>
      <c r="AE14">
        <v>1.2673440062319196E-3</v>
      </c>
      <c r="AF14">
        <v>1.5763465662251758E-2</v>
      </c>
      <c r="AG14">
        <v>1.3923655925257E-4</v>
      </c>
      <c r="AH14">
        <v>-2.7016199687086608E-2</v>
      </c>
    </row>
    <row r="15" spans="1:34" x14ac:dyDescent="0.2">
      <c r="A15" t="s">
        <v>25</v>
      </c>
      <c r="B15">
        <v>-0.15047232073835498</v>
      </c>
      <c r="C15">
        <v>4.1192585624009082E-4</v>
      </c>
      <c r="D15">
        <v>-3.7847685749588592E-4</v>
      </c>
      <c r="E15">
        <v>3.5999995982045473E-6</v>
      </c>
      <c r="F15">
        <v>-8.1718167609263277E-4</v>
      </c>
      <c r="G15">
        <v>-7.2765040284603088E-4</v>
      </c>
      <c r="H15">
        <v>6.4334052587971247E-5</v>
      </c>
      <c r="I15">
        <v>2.9861717096397742E-5</v>
      </c>
      <c r="J15">
        <v>-4.5504695224504559E-4</v>
      </c>
      <c r="K15">
        <v>-1.8494852122498615E-3</v>
      </c>
      <c r="L15">
        <v>7.8825359196535612E-5</v>
      </c>
      <c r="M15">
        <v>5.5750987780827863E-4</v>
      </c>
      <c r="N15">
        <v>5.3117604113698397E-4</v>
      </c>
      <c r="O15">
        <v>-6.5499803455404577E-4</v>
      </c>
      <c r="P15">
        <v>5.1450197233957641E-3</v>
      </c>
      <c r="Q15">
        <v>-1.5696245248755548E-3</v>
      </c>
      <c r="R15">
        <v>-2.7290039204038337E-3</v>
      </c>
      <c r="S15">
        <v>-1.5959901550377832E-3</v>
      </c>
      <c r="T15">
        <v>-1.73838691077633E-3</v>
      </c>
      <c r="U15">
        <v>-1.215335776469019E-3</v>
      </c>
      <c r="V15">
        <v>-1.6097379399703793E-3</v>
      </c>
      <c r="W15">
        <v>-1.4207856719563186E-3</v>
      </c>
      <c r="X15">
        <v>-1.6299775716907619E-3</v>
      </c>
      <c r="Y15">
        <v>-2.3684915857253436E-3</v>
      </c>
      <c r="Z15">
        <v>-1.8724375429973175E-3</v>
      </c>
      <c r="AA15">
        <v>-1.8284355101617781E-3</v>
      </c>
      <c r="AB15">
        <v>-5.6782142819710281E-5</v>
      </c>
      <c r="AC15">
        <v>5.6465180211939889E-4</v>
      </c>
      <c r="AD15">
        <v>5.1581357157270101E-4</v>
      </c>
      <c r="AE15">
        <v>-1.023323648429407E-4</v>
      </c>
      <c r="AF15">
        <v>-6.0385697317985459E-3</v>
      </c>
      <c r="AG15">
        <v>-3.643547769541024E-4</v>
      </c>
      <c r="AH15">
        <v>7.696425313080138E-3</v>
      </c>
    </row>
    <row r="16" spans="1:34" x14ac:dyDescent="0.2">
      <c r="A16" t="s">
        <v>57</v>
      </c>
      <c r="B16">
        <v>0.19498921207128828</v>
      </c>
      <c r="C16">
        <v>-1.2400506007799546E-3</v>
      </c>
      <c r="D16">
        <v>1.9799251474107021E-4</v>
      </c>
      <c r="E16">
        <v>-1.4852569615793104E-6</v>
      </c>
      <c r="F16">
        <v>1.2931939006854346E-3</v>
      </c>
      <c r="G16">
        <v>9.8886710158733863E-4</v>
      </c>
      <c r="H16">
        <v>-6.0411349233729027E-5</v>
      </c>
      <c r="I16">
        <v>-2.3195700718185066E-5</v>
      </c>
      <c r="J16">
        <v>-1.2226850758684932E-4</v>
      </c>
      <c r="K16">
        <v>1.3157310960073137E-3</v>
      </c>
      <c r="L16">
        <v>-7.3305771019305027E-4</v>
      </c>
      <c r="M16">
        <v>3.4027327611420299E-4</v>
      </c>
      <c r="N16">
        <v>1.0900050903663496E-3</v>
      </c>
      <c r="O16">
        <v>4.3594579022981066E-3</v>
      </c>
      <c r="P16">
        <v>-1.5696245248755548E-3</v>
      </c>
      <c r="Q16">
        <v>1.4709475549306407E-2</v>
      </c>
      <c r="R16">
        <v>1.1660165653102463E-2</v>
      </c>
      <c r="S16">
        <v>8.543932033067362E-3</v>
      </c>
      <c r="T16">
        <v>8.8590655845800469E-3</v>
      </c>
      <c r="U16">
        <v>7.8502257147673744E-3</v>
      </c>
      <c r="V16">
        <v>8.3434891310326768E-3</v>
      </c>
      <c r="W16">
        <v>8.4876444549205083E-3</v>
      </c>
      <c r="X16">
        <v>8.9912499719338752E-3</v>
      </c>
      <c r="Y16">
        <v>8.7842592744812407E-3</v>
      </c>
      <c r="Z16">
        <v>8.9666734127289288E-3</v>
      </c>
      <c r="AA16">
        <v>9.1152761538057514E-3</v>
      </c>
      <c r="AB16">
        <v>2.7597326924155147E-5</v>
      </c>
      <c r="AC16">
        <v>-5.909431617490018E-4</v>
      </c>
      <c r="AD16">
        <v>-1.3306547339183433E-4</v>
      </c>
      <c r="AE16">
        <v>3.2543053553937772E-3</v>
      </c>
      <c r="AF16">
        <v>2.0985920751229875E-2</v>
      </c>
      <c r="AG16">
        <v>1.9235059305383771E-3</v>
      </c>
      <c r="AH16">
        <v>-1.3568023619106966E-2</v>
      </c>
    </row>
    <row r="17" spans="1:34" x14ac:dyDescent="0.2">
      <c r="A17" t="s">
        <v>58</v>
      </c>
      <c r="B17">
        <v>0.22919334068716579</v>
      </c>
      <c r="C17">
        <v>-1.7529792355953011E-3</v>
      </c>
      <c r="D17">
        <v>2.0179938609421466E-4</v>
      </c>
      <c r="E17">
        <v>-1.8791101347659855E-6</v>
      </c>
      <c r="F17">
        <v>2.7084558375286318E-3</v>
      </c>
      <c r="G17">
        <v>2.1788963811874345E-3</v>
      </c>
      <c r="H17">
        <v>-1.0723041299715762E-4</v>
      </c>
      <c r="I17">
        <v>-3.1988711752061686E-5</v>
      </c>
      <c r="J17">
        <v>-5.6157094868496127E-5</v>
      </c>
      <c r="K17">
        <v>1.3591066915660532E-3</v>
      </c>
      <c r="L17">
        <v>-7.6691698080254972E-4</v>
      </c>
      <c r="M17">
        <v>3.5296343525887189E-4</v>
      </c>
      <c r="N17">
        <v>1.0192459785640373E-3</v>
      </c>
      <c r="O17">
        <v>7.2128979928207521E-3</v>
      </c>
      <c r="P17">
        <v>-2.7290039204038337E-3</v>
      </c>
      <c r="Q17">
        <v>1.1660165653102463E-2</v>
      </c>
      <c r="R17">
        <v>1.956217937349039E-2</v>
      </c>
      <c r="S17">
        <v>1.1230377153279745E-2</v>
      </c>
      <c r="T17">
        <v>1.1666140138058423E-2</v>
      </c>
      <c r="U17">
        <v>1.0122770688944401E-2</v>
      </c>
      <c r="V17">
        <v>1.0907253458069546E-2</v>
      </c>
      <c r="W17">
        <v>1.1094008077859922E-2</v>
      </c>
      <c r="X17">
        <v>1.2031490949978657E-2</v>
      </c>
      <c r="Y17">
        <v>1.1823294663065136E-2</v>
      </c>
      <c r="Z17">
        <v>1.1906488608959865E-2</v>
      </c>
      <c r="AA17">
        <v>1.2389215922052242E-2</v>
      </c>
      <c r="AB17">
        <v>1.6233642999009617E-4</v>
      </c>
      <c r="AC17">
        <v>-1.5222426151153406E-3</v>
      </c>
      <c r="AD17">
        <v>-1.2373644160117887E-3</v>
      </c>
      <c r="AE17">
        <v>3.8934851761684942E-3</v>
      </c>
      <c r="AF17">
        <v>3.7532000438458619E-2</v>
      </c>
      <c r="AG17">
        <v>2.0953449363210661E-3</v>
      </c>
      <c r="AH17">
        <v>-1.6097737061027566E-2</v>
      </c>
    </row>
    <row r="18" spans="1:34" x14ac:dyDescent="0.2">
      <c r="A18" t="s">
        <v>59</v>
      </c>
      <c r="B18">
        <v>0.11364634617343179</v>
      </c>
      <c r="C18">
        <v>-1.1044162876283749E-3</v>
      </c>
      <c r="D18">
        <v>5.3164751288393985E-5</v>
      </c>
      <c r="E18">
        <v>-5.5109245809207424E-7</v>
      </c>
      <c r="F18">
        <v>1.7761513120647457E-3</v>
      </c>
      <c r="G18">
        <v>1.5132251795556247E-3</v>
      </c>
      <c r="H18">
        <v>-5.3994170794658268E-5</v>
      </c>
      <c r="I18">
        <v>-2.2160396650343746E-5</v>
      </c>
      <c r="J18">
        <v>4.2123989987206956E-4</v>
      </c>
      <c r="K18">
        <v>1.1618053842541338E-3</v>
      </c>
      <c r="L18">
        <v>-7.0918957247137655E-4</v>
      </c>
      <c r="M18">
        <v>2.9777230151306882E-4</v>
      </c>
      <c r="N18">
        <v>1.1163844476577978E-3</v>
      </c>
      <c r="O18">
        <v>4.1352576810077223E-3</v>
      </c>
      <c r="P18">
        <v>-1.5959901550377832E-3</v>
      </c>
      <c r="Q18">
        <v>8.543932033067362E-3</v>
      </c>
      <c r="R18">
        <v>1.1230377153279745E-2</v>
      </c>
      <c r="S18">
        <v>1.2404247068863112E-2</v>
      </c>
      <c r="T18">
        <v>8.5880419554332683E-3</v>
      </c>
      <c r="U18">
        <v>7.6828668700665952E-3</v>
      </c>
      <c r="V18">
        <v>8.0970320674998916E-3</v>
      </c>
      <c r="W18">
        <v>8.249529372574985E-3</v>
      </c>
      <c r="X18">
        <v>8.7195192111339109E-3</v>
      </c>
      <c r="Y18">
        <v>8.5469953498382659E-3</v>
      </c>
      <c r="Z18">
        <v>8.7146935578086386E-3</v>
      </c>
      <c r="AA18">
        <v>8.8718148999859352E-3</v>
      </c>
      <c r="AB18">
        <v>2.2288423146316788E-5</v>
      </c>
      <c r="AC18">
        <v>-3.4140819334360032E-4</v>
      </c>
      <c r="AD18">
        <v>1.7778054945115926E-4</v>
      </c>
      <c r="AE18">
        <v>3.1793885666185412E-3</v>
      </c>
      <c r="AF18">
        <v>1.9783038964294848E-2</v>
      </c>
      <c r="AG18">
        <v>1.8357515653340704E-3</v>
      </c>
      <c r="AH18">
        <v>-8.7718687943715394E-3</v>
      </c>
    </row>
    <row r="19" spans="1:34" x14ac:dyDescent="0.2">
      <c r="A19" t="s">
        <v>60</v>
      </c>
      <c r="B19">
        <v>0.18008110954421708</v>
      </c>
      <c r="C19">
        <v>-1.3855037154987524E-3</v>
      </c>
      <c r="D19">
        <v>7.9164708420322027E-5</v>
      </c>
      <c r="E19">
        <v>-6.4763107064235315E-7</v>
      </c>
      <c r="F19">
        <v>1.4529282599344837E-3</v>
      </c>
      <c r="G19">
        <v>1.0013006414027927E-3</v>
      </c>
      <c r="H19">
        <v>-6.2662108654400477E-5</v>
      </c>
      <c r="I19">
        <v>-3.2324372041103163E-5</v>
      </c>
      <c r="J19">
        <v>1.0328307391964386E-4</v>
      </c>
      <c r="K19">
        <v>1.2447900965642765E-3</v>
      </c>
      <c r="L19">
        <v>-1.0254101384216917E-3</v>
      </c>
      <c r="M19">
        <v>3.1847121521928496E-4</v>
      </c>
      <c r="N19">
        <v>8.0666957241387876E-4</v>
      </c>
      <c r="O19">
        <v>4.391717344995421E-3</v>
      </c>
      <c r="P19">
        <v>-1.73838691077633E-3</v>
      </c>
      <c r="Q19">
        <v>8.8590655845800469E-3</v>
      </c>
      <c r="R19">
        <v>1.1666140138058423E-2</v>
      </c>
      <c r="S19">
        <v>8.5880419554332683E-3</v>
      </c>
      <c r="T19">
        <v>1.3379832213021163E-2</v>
      </c>
      <c r="U19">
        <v>7.946314822471167E-3</v>
      </c>
      <c r="V19">
        <v>8.4250071033307988E-3</v>
      </c>
      <c r="W19">
        <v>8.531315718221839E-3</v>
      </c>
      <c r="X19">
        <v>9.0796609549253053E-3</v>
      </c>
      <c r="Y19">
        <v>8.9297023710480632E-3</v>
      </c>
      <c r="Z19">
        <v>9.0523164493674646E-3</v>
      </c>
      <c r="AA19">
        <v>9.2788070255340055E-3</v>
      </c>
      <c r="AB19">
        <v>4.3108872346176233E-5</v>
      </c>
      <c r="AC19">
        <v>-6.3878496559811957E-4</v>
      </c>
      <c r="AD19">
        <v>-6.0311079026197307E-4</v>
      </c>
      <c r="AE19">
        <v>3.0237732805301048E-3</v>
      </c>
      <c r="AF19">
        <v>2.0772277039572275E-2</v>
      </c>
      <c r="AG19">
        <v>2.0354251848845569E-3</v>
      </c>
      <c r="AH19">
        <v>-9.1502308540270492E-3</v>
      </c>
    </row>
    <row r="20" spans="1:34" x14ac:dyDescent="0.2">
      <c r="A20" t="s">
        <v>61</v>
      </c>
      <c r="B20">
        <v>5.1314653015136373E-2</v>
      </c>
      <c r="C20">
        <v>-9.2358436188245008E-4</v>
      </c>
      <c r="D20">
        <v>1.7724003109103811E-4</v>
      </c>
      <c r="E20">
        <v>-1.4451342232765741E-6</v>
      </c>
      <c r="F20">
        <v>1.1663657908983671E-3</v>
      </c>
      <c r="G20">
        <v>9.8877265442825287E-4</v>
      </c>
      <c r="H20">
        <v>-4.7611169507054283E-5</v>
      </c>
      <c r="I20">
        <v>-2.2342797700028913E-5</v>
      </c>
      <c r="J20">
        <v>2.2656234990275741E-4</v>
      </c>
      <c r="K20">
        <v>1.617466119521814E-3</v>
      </c>
      <c r="L20">
        <v>-8.2881089801337994E-4</v>
      </c>
      <c r="M20">
        <v>7.0564701151741311E-4</v>
      </c>
      <c r="N20">
        <v>1.1847738146293077E-3</v>
      </c>
      <c r="O20">
        <v>3.8166728555606294E-3</v>
      </c>
      <c r="P20">
        <v>-1.215335776469019E-3</v>
      </c>
      <c r="Q20">
        <v>7.8502257147673744E-3</v>
      </c>
      <c r="R20">
        <v>1.0122770688944401E-2</v>
      </c>
      <c r="S20">
        <v>7.6828668700665952E-3</v>
      </c>
      <c r="T20">
        <v>7.946314822471167E-3</v>
      </c>
      <c r="U20">
        <v>1.186461292482671E-2</v>
      </c>
      <c r="V20">
        <v>7.5531615113644682E-3</v>
      </c>
      <c r="W20">
        <v>7.6839211716014273E-3</v>
      </c>
      <c r="X20">
        <v>8.0999325576041181E-3</v>
      </c>
      <c r="Y20">
        <v>7.8663495401517774E-3</v>
      </c>
      <c r="Z20">
        <v>8.0194259064241928E-3</v>
      </c>
      <c r="AA20">
        <v>8.1321525518782151E-3</v>
      </c>
      <c r="AB20">
        <v>1.5008214711488012E-5</v>
      </c>
      <c r="AC20">
        <v>-6.9585107433340915E-5</v>
      </c>
      <c r="AD20">
        <v>-1.837296373317851E-4</v>
      </c>
      <c r="AE20">
        <v>2.4432313578487057E-3</v>
      </c>
      <c r="AF20">
        <v>1.6749424720029216E-2</v>
      </c>
      <c r="AG20">
        <v>1.3971580225515005E-3</v>
      </c>
      <c r="AH20">
        <v>-1.2308891839808243E-2</v>
      </c>
    </row>
    <row r="21" spans="1:34" x14ac:dyDescent="0.2">
      <c r="A21" t="s">
        <v>62</v>
      </c>
      <c r="B21">
        <v>0.1931622695573377</v>
      </c>
      <c r="C21">
        <v>-1.0197156011622259E-3</v>
      </c>
      <c r="D21">
        <v>1.2868067162260383E-4</v>
      </c>
      <c r="E21">
        <v>-1.0873565336607608E-6</v>
      </c>
      <c r="F21">
        <v>1.3356612749603307E-3</v>
      </c>
      <c r="G21">
        <v>1.0799635905760058E-3</v>
      </c>
      <c r="H21">
        <v>-5.8374011667968601E-5</v>
      </c>
      <c r="I21">
        <v>-2.95864866787699E-5</v>
      </c>
      <c r="J21">
        <v>2.4471973266356785E-4</v>
      </c>
      <c r="K21">
        <v>1.4262037967368649E-3</v>
      </c>
      <c r="L21">
        <v>-1.0346571724186441E-3</v>
      </c>
      <c r="M21">
        <v>4.9057592197299278E-4</v>
      </c>
      <c r="N21">
        <v>1.1480010080189285E-3</v>
      </c>
      <c r="O21">
        <v>3.9131701462415507E-3</v>
      </c>
      <c r="P21">
        <v>-1.6097379399703793E-3</v>
      </c>
      <c r="Q21">
        <v>8.3434891310326768E-3</v>
      </c>
      <c r="R21">
        <v>1.0907253458069546E-2</v>
      </c>
      <c r="S21">
        <v>8.0970320674998916E-3</v>
      </c>
      <c r="T21">
        <v>8.4250071033307988E-3</v>
      </c>
      <c r="U21">
        <v>7.5531615113644682E-3</v>
      </c>
      <c r="V21">
        <v>1.1418221910726436E-2</v>
      </c>
      <c r="W21">
        <v>8.1115791469371454E-3</v>
      </c>
      <c r="X21">
        <v>8.5593884266798089E-3</v>
      </c>
      <c r="Y21">
        <v>8.4039496213733182E-3</v>
      </c>
      <c r="Z21">
        <v>8.5322311087238627E-3</v>
      </c>
      <c r="AA21">
        <v>8.7385447508817188E-3</v>
      </c>
      <c r="AB21">
        <v>3.4755112106201413E-5</v>
      </c>
      <c r="AC21">
        <v>-4.5802014421134594E-4</v>
      </c>
      <c r="AD21">
        <v>-2.8126417894586836E-5</v>
      </c>
      <c r="AE21">
        <v>2.8257850570294848E-3</v>
      </c>
      <c r="AF21">
        <v>1.8868807345236188E-2</v>
      </c>
      <c r="AG21">
        <v>1.7769258453250694E-3</v>
      </c>
      <c r="AH21">
        <v>-1.0511309422297842E-2</v>
      </c>
    </row>
    <row r="22" spans="1:34" x14ac:dyDescent="0.2">
      <c r="A22" t="s">
        <v>63</v>
      </c>
      <c r="B22">
        <v>4.4814643536305383E-2</v>
      </c>
      <c r="C22">
        <v>-1.1201294848245586E-3</v>
      </c>
      <c r="D22">
        <v>2.3916827055348727E-4</v>
      </c>
      <c r="E22">
        <v>-1.8055250573838699E-6</v>
      </c>
      <c r="F22">
        <v>1.6427530023334161E-3</v>
      </c>
      <c r="G22">
        <v>1.160230007237613E-3</v>
      </c>
      <c r="H22">
        <v>-5.1738093082697608E-5</v>
      </c>
      <c r="I22">
        <v>-2.6505567544649262E-5</v>
      </c>
      <c r="J22">
        <v>-2.3721702735201612E-4</v>
      </c>
      <c r="K22">
        <v>1.4231163195201936E-3</v>
      </c>
      <c r="L22">
        <v>-1.061382905775786E-3</v>
      </c>
      <c r="M22">
        <v>4.2688798961176746E-4</v>
      </c>
      <c r="N22">
        <v>1.2347180459696041E-3</v>
      </c>
      <c r="O22">
        <v>4.0911048381725018E-3</v>
      </c>
      <c r="P22">
        <v>-1.4207856719563186E-3</v>
      </c>
      <c r="Q22">
        <v>8.4876444549205083E-3</v>
      </c>
      <c r="R22">
        <v>1.1094008077859922E-2</v>
      </c>
      <c r="S22">
        <v>8.249529372574985E-3</v>
      </c>
      <c r="T22">
        <v>8.531315718221839E-3</v>
      </c>
      <c r="U22">
        <v>7.6839211716014273E-3</v>
      </c>
      <c r="V22">
        <v>8.1115791469371454E-3</v>
      </c>
      <c r="W22">
        <v>1.0756736531310887E-2</v>
      </c>
      <c r="X22">
        <v>8.7263727199239048E-3</v>
      </c>
      <c r="Y22">
        <v>8.5306322110847693E-3</v>
      </c>
      <c r="Z22">
        <v>8.6540406312116368E-3</v>
      </c>
      <c r="AA22">
        <v>8.9739555029585156E-3</v>
      </c>
      <c r="AB22">
        <v>3.4905993906217967E-5</v>
      </c>
      <c r="AC22">
        <v>-5.3361324755469728E-4</v>
      </c>
      <c r="AD22">
        <v>-4.4848674161434513E-4</v>
      </c>
      <c r="AE22">
        <v>3.1122143265925693E-3</v>
      </c>
      <c r="AF22">
        <v>1.9366959854394003E-2</v>
      </c>
      <c r="AG22">
        <v>2.4733326045846805E-3</v>
      </c>
      <c r="AH22">
        <v>-1.5203458809810663E-2</v>
      </c>
    </row>
    <row r="23" spans="1:34" x14ac:dyDescent="0.2">
      <c r="A23" t="s">
        <v>64</v>
      </c>
      <c r="B23">
        <v>0.1244843997431799</v>
      </c>
      <c r="C23">
        <v>-1.2167530673548356E-3</v>
      </c>
      <c r="D23">
        <v>1.8580140151078922E-4</v>
      </c>
      <c r="E23">
        <v>-1.5645936441110965E-6</v>
      </c>
      <c r="F23">
        <v>1.6618138205498148E-3</v>
      </c>
      <c r="G23">
        <v>1.250057031155487E-3</v>
      </c>
      <c r="H23">
        <v>-6.6547871275552531E-5</v>
      </c>
      <c r="I23">
        <v>-3.0681303364617538E-5</v>
      </c>
      <c r="J23">
        <v>-4.1340047195628435E-5</v>
      </c>
      <c r="K23">
        <v>1.2965759536085059E-3</v>
      </c>
      <c r="L23">
        <v>-8.7709621284346286E-4</v>
      </c>
      <c r="M23">
        <v>7.2513678301650182E-4</v>
      </c>
      <c r="N23">
        <v>1.1256431567057586E-3</v>
      </c>
      <c r="O23">
        <v>4.7188052095169311E-3</v>
      </c>
      <c r="P23">
        <v>-1.6299775716907619E-3</v>
      </c>
      <c r="Q23">
        <v>8.9912499719338752E-3</v>
      </c>
      <c r="R23">
        <v>1.2031490949978657E-2</v>
      </c>
      <c r="S23">
        <v>8.7195192111339109E-3</v>
      </c>
      <c r="T23">
        <v>9.0796609549253053E-3</v>
      </c>
      <c r="U23">
        <v>8.0999325576041181E-3</v>
      </c>
      <c r="V23">
        <v>8.5593884266798089E-3</v>
      </c>
      <c r="W23">
        <v>8.7263727199239048E-3</v>
      </c>
      <c r="X23">
        <v>1.258268854446002E-2</v>
      </c>
      <c r="Y23">
        <v>9.093744582685654E-3</v>
      </c>
      <c r="Z23">
        <v>9.1860794258953257E-3</v>
      </c>
      <c r="AA23">
        <v>9.5099944799862113E-3</v>
      </c>
      <c r="AB23">
        <v>3.0082766915272242E-5</v>
      </c>
      <c r="AC23">
        <v>-6.0861918659636674E-4</v>
      </c>
      <c r="AD23">
        <v>-4.3219941928340864E-4</v>
      </c>
      <c r="AE23">
        <v>3.3791902485964778E-3</v>
      </c>
      <c r="AF23">
        <v>2.1949440093433283E-2</v>
      </c>
      <c r="AG23">
        <v>1.6420319603991439E-3</v>
      </c>
      <c r="AH23">
        <v>-1.2537249223934174E-2</v>
      </c>
    </row>
    <row r="24" spans="1:34" x14ac:dyDescent="0.2">
      <c r="A24" t="s">
        <v>65</v>
      </c>
      <c r="B24">
        <v>0.22930948569280002</v>
      </c>
      <c r="C24">
        <v>-1.1614333715443189E-3</v>
      </c>
      <c r="D24">
        <v>2.2742005356483908E-4</v>
      </c>
      <c r="E24">
        <v>-2.2392598662438834E-6</v>
      </c>
      <c r="F24">
        <v>1.7502671913800611E-3</v>
      </c>
      <c r="G24">
        <v>1.0840893212603472E-3</v>
      </c>
      <c r="H24">
        <v>-7.2590005614540619E-5</v>
      </c>
      <c r="I24">
        <v>-3.2401057453476618E-5</v>
      </c>
      <c r="J24">
        <v>3.0256220723962751E-4</v>
      </c>
      <c r="K24">
        <v>2.09744157518248E-3</v>
      </c>
      <c r="L24">
        <v>-2.3091163573573607E-4</v>
      </c>
      <c r="M24">
        <v>1.001017351993946E-3</v>
      </c>
      <c r="N24">
        <v>1.3622991340049451E-3</v>
      </c>
      <c r="O24">
        <v>4.9570218174342442E-3</v>
      </c>
      <c r="P24">
        <v>-2.3684915857253436E-3</v>
      </c>
      <c r="Q24">
        <v>8.7842592744812407E-3</v>
      </c>
      <c r="R24">
        <v>1.1823294663065136E-2</v>
      </c>
      <c r="S24">
        <v>8.5469953498382659E-3</v>
      </c>
      <c r="T24">
        <v>8.9297023710480632E-3</v>
      </c>
      <c r="U24">
        <v>7.8663495401517774E-3</v>
      </c>
      <c r="V24">
        <v>8.4039496213733182E-3</v>
      </c>
      <c r="W24">
        <v>8.5306322110847693E-3</v>
      </c>
      <c r="X24">
        <v>9.093744582685654E-3</v>
      </c>
      <c r="Y24">
        <v>1.4266779607127127E-2</v>
      </c>
      <c r="Z24">
        <v>9.0109623372875945E-3</v>
      </c>
      <c r="AA24">
        <v>9.3735944319356251E-3</v>
      </c>
      <c r="AB24">
        <v>6.7147721322343692E-5</v>
      </c>
      <c r="AC24">
        <v>-7.4690819442096122E-4</v>
      </c>
      <c r="AD24">
        <v>-2.2033927013887997E-4</v>
      </c>
      <c r="AE24">
        <v>3.1595714632938511E-3</v>
      </c>
      <c r="AF24">
        <v>2.1380737566154079E-2</v>
      </c>
      <c r="AG24">
        <v>1.2204157632128704E-3</v>
      </c>
      <c r="AH24">
        <v>-1.3123495862023375E-2</v>
      </c>
    </row>
    <row r="25" spans="1:34" x14ac:dyDescent="0.2">
      <c r="A25" t="s">
        <v>66</v>
      </c>
      <c r="B25">
        <v>0.13741935489191365</v>
      </c>
      <c r="C25">
        <v>-1.224999179292119E-3</v>
      </c>
      <c r="D25">
        <v>1.9214793354502963E-4</v>
      </c>
      <c r="E25">
        <v>-1.6148000119776593E-6</v>
      </c>
      <c r="F25">
        <v>1.4903046442212465E-3</v>
      </c>
      <c r="G25">
        <v>1.1387451358837628E-3</v>
      </c>
      <c r="H25">
        <v>-6.9044194975464578E-5</v>
      </c>
      <c r="I25">
        <v>-2.8728158133210031E-5</v>
      </c>
      <c r="J25">
        <v>1.4507101567128554E-4</v>
      </c>
      <c r="K25">
        <v>1.2898168764578118E-3</v>
      </c>
      <c r="L25">
        <v>-5.836390778976696E-4</v>
      </c>
      <c r="M25">
        <v>6.0840625022519183E-4</v>
      </c>
      <c r="N25">
        <v>9.8301849700537826E-4</v>
      </c>
      <c r="O25">
        <v>4.4140177512365965E-3</v>
      </c>
      <c r="P25">
        <v>-1.8724375429973175E-3</v>
      </c>
      <c r="Q25">
        <v>8.9666734127289288E-3</v>
      </c>
      <c r="R25">
        <v>1.1906488608959865E-2</v>
      </c>
      <c r="S25">
        <v>8.7146935578086386E-3</v>
      </c>
      <c r="T25">
        <v>9.0523164493674646E-3</v>
      </c>
      <c r="U25">
        <v>8.0194259064241928E-3</v>
      </c>
      <c r="V25">
        <v>8.5322311087238627E-3</v>
      </c>
      <c r="W25">
        <v>8.6540406312116368E-3</v>
      </c>
      <c r="X25">
        <v>9.1860794258953257E-3</v>
      </c>
      <c r="Y25">
        <v>9.0109623372875945E-3</v>
      </c>
      <c r="Z25">
        <v>1.2547895097529828E-2</v>
      </c>
      <c r="AA25">
        <v>9.3368320610812544E-3</v>
      </c>
      <c r="AB25">
        <v>4.8601686065757378E-5</v>
      </c>
      <c r="AC25">
        <v>-5.0459283227515059E-4</v>
      </c>
      <c r="AD25">
        <v>-2.1723139196046497E-4</v>
      </c>
      <c r="AE25">
        <v>3.2384956945321333E-3</v>
      </c>
      <c r="AF25">
        <v>2.1411954742913374E-2</v>
      </c>
      <c r="AG25">
        <v>1.9460401187529556E-3</v>
      </c>
      <c r="AH25">
        <v>-1.2842634515379609E-2</v>
      </c>
    </row>
    <row r="26" spans="1:34" x14ac:dyDescent="0.2">
      <c r="A26" t="s">
        <v>67</v>
      </c>
      <c r="B26">
        <v>9.1131248209650892E-2</v>
      </c>
      <c r="C26">
        <v>-7.6383403049572803E-4</v>
      </c>
      <c r="D26">
        <v>1.0339785869556417E-4</v>
      </c>
      <c r="E26">
        <v>-1.1530581094214027E-6</v>
      </c>
      <c r="F26">
        <v>2.0919809217896045E-3</v>
      </c>
      <c r="G26">
        <v>6.2501823023443088E-4</v>
      </c>
      <c r="H26">
        <v>-8.3551933869532933E-5</v>
      </c>
      <c r="I26">
        <v>-5.1641255890123383E-5</v>
      </c>
      <c r="J26">
        <v>2.951179441936444E-4</v>
      </c>
      <c r="K26">
        <v>9.4623897970370907E-4</v>
      </c>
      <c r="L26">
        <v>-1.4329705759953855E-3</v>
      </c>
      <c r="M26">
        <v>-1.1198313090940784E-5</v>
      </c>
      <c r="N26">
        <v>5.6322843189477584E-4</v>
      </c>
      <c r="O26">
        <v>4.13475569708684E-3</v>
      </c>
      <c r="P26">
        <v>-1.8284355101617781E-3</v>
      </c>
      <c r="Q26">
        <v>9.1152761538057514E-3</v>
      </c>
      <c r="R26">
        <v>1.2389215922052242E-2</v>
      </c>
      <c r="S26">
        <v>8.8718148999859352E-3</v>
      </c>
      <c r="T26">
        <v>9.2788070255340055E-3</v>
      </c>
      <c r="U26">
        <v>8.1321525518782151E-3</v>
      </c>
      <c r="V26">
        <v>8.7385447508817188E-3</v>
      </c>
      <c r="W26">
        <v>8.9739555029585156E-3</v>
      </c>
      <c r="X26">
        <v>9.5099944799862113E-3</v>
      </c>
      <c r="Y26">
        <v>9.3735944319356251E-3</v>
      </c>
      <c r="Z26">
        <v>9.3368320610812544E-3</v>
      </c>
      <c r="AA26">
        <v>1.842916528563979E-2</v>
      </c>
      <c r="AB26">
        <v>1.2213332277698219E-4</v>
      </c>
      <c r="AC26">
        <v>-1.213220125212881E-3</v>
      </c>
      <c r="AD26">
        <v>-1.1286571029210882E-3</v>
      </c>
      <c r="AE26">
        <v>3.6191500832950152E-3</v>
      </c>
      <c r="AF26">
        <v>2.2839675793074714E-2</v>
      </c>
      <c r="AG26">
        <v>1.7713941572887293E-3</v>
      </c>
      <c r="AH26">
        <v>-8.7284983229015678E-3</v>
      </c>
    </row>
    <row r="27" spans="1:34" x14ac:dyDescent="0.2">
      <c r="A27" t="s">
        <v>26</v>
      </c>
      <c r="B27">
        <v>-1.637531475942158E-2</v>
      </c>
      <c r="C27">
        <v>-4.8573611273704503E-6</v>
      </c>
      <c r="D27">
        <v>-7.6627498652136194E-6</v>
      </c>
      <c r="E27">
        <v>3.2748816298345087E-9</v>
      </c>
      <c r="F27">
        <v>3.5848400819560024E-5</v>
      </c>
      <c r="G27">
        <v>5.1210280682676258E-5</v>
      </c>
      <c r="H27">
        <v>-1.0073425169871772E-6</v>
      </c>
      <c r="I27">
        <v>1.3414489287718757E-6</v>
      </c>
      <c r="J27">
        <v>6.8971472579673013E-5</v>
      </c>
      <c r="K27">
        <v>-3.7619499608744153E-5</v>
      </c>
      <c r="L27">
        <v>3.9903478823386743E-5</v>
      </c>
      <c r="M27">
        <v>-3.8332909936301951E-5</v>
      </c>
      <c r="N27">
        <v>-6.3220452542747533E-5</v>
      </c>
      <c r="O27">
        <v>2.7354484483448852E-5</v>
      </c>
      <c r="P27">
        <v>-5.6782142819710281E-5</v>
      </c>
      <c r="Q27">
        <v>2.7597326924155147E-5</v>
      </c>
      <c r="R27">
        <v>1.6233642999009617E-4</v>
      </c>
      <c r="S27">
        <v>2.2288423146316788E-5</v>
      </c>
      <c r="T27">
        <v>4.3108872346176233E-5</v>
      </c>
      <c r="U27">
        <v>1.5008214711488012E-5</v>
      </c>
      <c r="V27">
        <v>3.4755112106201413E-5</v>
      </c>
      <c r="W27">
        <v>3.4905993906217967E-5</v>
      </c>
      <c r="X27">
        <v>3.0082766915272242E-5</v>
      </c>
      <c r="Y27">
        <v>6.7147721322343692E-5</v>
      </c>
      <c r="Z27">
        <v>4.8601686065757378E-5</v>
      </c>
      <c r="AA27">
        <v>1.2213332277698219E-4</v>
      </c>
      <c r="AB27">
        <v>3.6175584646647648E-5</v>
      </c>
      <c r="AC27">
        <v>-1.4737211756653322E-4</v>
      </c>
      <c r="AD27">
        <v>-1.7098155680536132E-4</v>
      </c>
      <c r="AE27">
        <v>-3.6202473336396218E-5</v>
      </c>
      <c r="AF27">
        <v>5.8805082859500024E-4</v>
      </c>
      <c r="AG27">
        <v>-8.7350637835899568E-6</v>
      </c>
      <c r="AH27">
        <v>-2.1228852502316875E-4</v>
      </c>
    </row>
    <row r="28" spans="1:34" x14ac:dyDescent="0.2">
      <c r="A28" t="s">
        <v>27</v>
      </c>
      <c r="B28">
        <v>-0.1052951030089922</v>
      </c>
      <c r="C28">
        <v>1.6564790831335302E-4</v>
      </c>
      <c r="D28">
        <v>-6.2915257272453534E-5</v>
      </c>
      <c r="E28">
        <v>5.9240493379826803E-7</v>
      </c>
      <c r="F28">
        <v>-1.8710326232144222E-4</v>
      </c>
      <c r="G28">
        <v>-7.440567421341561E-5</v>
      </c>
      <c r="H28">
        <v>1.3133144856999223E-5</v>
      </c>
      <c r="I28">
        <v>3.7435135247521214E-6</v>
      </c>
      <c r="J28">
        <v>2.0365020453234212E-5</v>
      </c>
      <c r="K28">
        <v>2.4251057849187033E-4</v>
      </c>
      <c r="L28">
        <v>-1.3441061572493909E-4</v>
      </c>
      <c r="M28">
        <v>3.9491453755743661E-4</v>
      </c>
      <c r="N28">
        <v>4.9785346587575153E-4</v>
      </c>
      <c r="O28">
        <v>-2.03278942631651E-4</v>
      </c>
      <c r="P28">
        <v>5.6465180211939889E-4</v>
      </c>
      <c r="Q28">
        <v>-5.909431617490018E-4</v>
      </c>
      <c r="R28">
        <v>-1.5222426151153406E-3</v>
      </c>
      <c r="S28">
        <v>-3.4140819334360032E-4</v>
      </c>
      <c r="T28">
        <v>-6.3878496559811957E-4</v>
      </c>
      <c r="U28">
        <v>-6.9585107433340915E-5</v>
      </c>
      <c r="V28">
        <v>-4.5802014421134594E-4</v>
      </c>
      <c r="W28">
        <v>-5.3361324755469728E-4</v>
      </c>
      <c r="X28">
        <v>-6.0861918659636674E-4</v>
      </c>
      <c r="Y28">
        <v>-7.4690819442096122E-4</v>
      </c>
      <c r="Z28">
        <v>-5.0459283227515059E-4</v>
      </c>
      <c r="AA28">
        <v>-1.213220125212881E-3</v>
      </c>
      <c r="AB28">
        <v>-1.4737211756653322E-4</v>
      </c>
      <c r="AC28">
        <v>5.9920471835851787E-3</v>
      </c>
      <c r="AD28">
        <v>1.1504325337428852E-3</v>
      </c>
      <c r="AE28">
        <v>5.7452671404568245E-5</v>
      </c>
      <c r="AF28">
        <v>-4.5750805548109043E-3</v>
      </c>
      <c r="AG28">
        <v>-4.7263477844271697E-5</v>
      </c>
      <c r="AH28">
        <v>3.2139889691215782E-3</v>
      </c>
    </row>
    <row r="29" spans="1:34" x14ac:dyDescent="0.2">
      <c r="A29" t="s">
        <v>28</v>
      </c>
      <c r="B29">
        <v>-2.6689484910022043E-2</v>
      </c>
      <c r="C29">
        <v>2.0477687701145743E-4</v>
      </c>
      <c r="D29">
        <v>-8.3291934346377272E-6</v>
      </c>
      <c r="E29">
        <v>2.3104758817488798E-8</v>
      </c>
      <c r="F29">
        <v>-1.1999236476009016E-4</v>
      </c>
      <c r="G29">
        <v>2.0963647012247765E-4</v>
      </c>
      <c r="H29">
        <v>1.3482190978087068E-5</v>
      </c>
      <c r="I29">
        <v>9.2191196016252423E-7</v>
      </c>
      <c r="J29">
        <v>4.6454673486969258E-4</v>
      </c>
      <c r="K29">
        <v>4.8964008701453399E-4</v>
      </c>
      <c r="L29">
        <v>4.591540869328635E-5</v>
      </c>
      <c r="M29">
        <v>5.4097880569757215E-4</v>
      </c>
      <c r="N29">
        <v>6.9399055150905567E-4</v>
      </c>
      <c r="O29">
        <v>-4.3574259696477213E-5</v>
      </c>
      <c r="P29">
        <v>5.1581357157270101E-4</v>
      </c>
      <c r="Q29">
        <v>-1.3306547339183433E-4</v>
      </c>
      <c r="R29">
        <v>-1.2373644160117887E-3</v>
      </c>
      <c r="S29">
        <v>1.7778054945115926E-4</v>
      </c>
      <c r="T29">
        <v>-6.0311079026197307E-4</v>
      </c>
      <c r="U29">
        <v>-1.837296373317851E-4</v>
      </c>
      <c r="V29">
        <v>-2.8126417894586836E-5</v>
      </c>
      <c r="W29">
        <v>-4.4848674161434513E-4</v>
      </c>
      <c r="X29">
        <v>-4.3219941928340864E-4</v>
      </c>
      <c r="Y29">
        <v>-2.2033927013887997E-4</v>
      </c>
      <c r="Z29">
        <v>-2.1723139196046497E-4</v>
      </c>
      <c r="AA29">
        <v>-1.1286571029210882E-3</v>
      </c>
      <c r="AB29">
        <v>-1.7098155680536132E-4</v>
      </c>
      <c r="AC29">
        <v>1.1504325337428852E-3</v>
      </c>
      <c r="AD29">
        <v>5.8288669722098962E-3</v>
      </c>
      <c r="AE29">
        <v>-6.7399075294563441E-5</v>
      </c>
      <c r="AF29">
        <v>-4.6124187742254928E-3</v>
      </c>
      <c r="AG29">
        <v>1.5067442613240153E-4</v>
      </c>
      <c r="AH29">
        <v>1.7901144137601049E-3</v>
      </c>
    </row>
    <row r="30" spans="1:34" x14ac:dyDescent="0.2">
      <c r="A30" t="s">
        <v>70</v>
      </c>
      <c r="B30">
        <v>-0.16404981170361665</v>
      </c>
      <c r="C30">
        <v>-2.0770196617957907E-4</v>
      </c>
      <c r="D30">
        <v>-2.2987420629625582E-4</v>
      </c>
      <c r="E30">
        <v>2.0589366338501637E-6</v>
      </c>
      <c r="F30">
        <v>6.2365683926949938E-4</v>
      </c>
      <c r="G30">
        <v>1.0525128930705954E-4</v>
      </c>
      <c r="H30">
        <v>-2.0425349189081874E-5</v>
      </c>
      <c r="I30">
        <v>-1.8325109982246344E-5</v>
      </c>
      <c r="J30">
        <v>-1.0236073386579812E-4</v>
      </c>
      <c r="K30">
        <v>-2.2052215545243989E-4</v>
      </c>
      <c r="L30">
        <v>-5.3505122811263982E-4</v>
      </c>
      <c r="M30">
        <v>7.0063799912900224E-5</v>
      </c>
      <c r="N30">
        <v>2.6871663783609688E-4</v>
      </c>
      <c r="O30">
        <v>1.2673440062319196E-3</v>
      </c>
      <c r="P30">
        <v>-1.023323648429407E-4</v>
      </c>
      <c r="Q30">
        <v>3.2543053553937772E-3</v>
      </c>
      <c r="R30">
        <v>3.8934851761684942E-3</v>
      </c>
      <c r="S30">
        <v>3.1793885666185412E-3</v>
      </c>
      <c r="T30">
        <v>3.0237732805301048E-3</v>
      </c>
      <c r="U30">
        <v>2.4432313578487057E-3</v>
      </c>
      <c r="V30">
        <v>2.8257850570294848E-3</v>
      </c>
      <c r="W30">
        <v>3.1122143265925693E-3</v>
      </c>
      <c r="X30">
        <v>3.3791902485964778E-3</v>
      </c>
      <c r="Y30">
        <v>3.1595714632938511E-3</v>
      </c>
      <c r="Z30">
        <v>3.2384956945321333E-3</v>
      </c>
      <c r="AA30">
        <v>3.6191500832950152E-3</v>
      </c>
      <c r="AB30">
        <v>-3.6202473336396218E-5</v>
      </c>
      <c r="AC30">
        <v>5.7452671404568245E-5</v>
      </c>
      <c r="AD30">
        <v>-6.7399075294563441E-5</v>
      </c>
      <c r="AE30">
        <v>9.7363923174599038E-3</v>
      </c>
      <c r="AF30">
        <v>7.3122784514326571E-3</v>
      </c>
      <c r="AG30">
        <v>9.1591828632587658E-4</v>
      </c>
      <c r="AH30">
        <v>4.9615023109691649E-3</v>
      </c>
    </row>
    <row r="31" spans="1:34" x14ac:dyDescent="0.2">
      <c r="A31" t="s">
        <v>71</v>
      </c>
      <c r="B31">
        <v>0.15490014479434436</v>
      </c>
      <c r="C31">
        <v>-4.2528204499784131E-3</v>
      </c>
      <c r="D31">
        <v>8.9560178827829962E-5</v>
      </c>
      <c r="E31">
        <v>-1.6163623328489113E-6</v>
      </c>
      <c r="F31">
        <v>7.6051332064854295E-3</v>
      </c>
      <c r="G31">
        <v>6.8419731188036192E-3</v>
      </c>
      <c r="H31">
        <v>-2.7453029369289687E-4</v>
      </c>
      <c r="I31">
        <v>-4.1991523566375054E-5</v>
      </c>
      <c r="J31">
        <v>-8.797205012447129E-4</v>
      </c>
      <c r="K31">
        <v>-8.5812201510465647E-4</v>
      </c>
      <c r="L31">
        <v>-1.9201081749704862E-3</v>
      </c>
      <c r="M31">
        <v>-1.0449402298663146E-3</v>
      </c>
      <c r="N31">
        <v>-7.2808524687928422E-4</v>
      </c>
      <c r="O31">
        <v>1.5763465662251758E-2</v>
      </c>
      <c r="P31">
        <v>-6.0385697317985459E-3</v>
      </c>
      <c r="Q31">
        <v>2.0985920751229875E-2</v>
      </c>
      <c r="R31">
        <v>3.7532000438458619E-2</v>
      </c>
      <c r="S31">
        <v>1.9783038964294848E-2</v>
      </c>
      <c r="T31">
        <v>2.0772277039572275E-2</v>
      </c>
      <c r="U31">
        <v>1.6749424720029216E-2</v>
      </c>
      <c r="V31">
        <v>1.8868807345236188E-2</v>
      </c>
      <c r="W31">
        <v>1.9366959854394003E-2</v>
      </c>
      <c r="X31">
        <v>2.1949440093433283E-2</v>
      </c>
      <c r="Y31">
        <v>2.1380737566154079E-2</v>
      </c>
      <c r="Z31">
        <v>2.1411954742913374E-2</v>
      </c>
      <c r="AA31">
        <v>2.2839675793074714E-2</v>
      </c>
      <c r="AB31">
        <v>5.8805082859500024E-4</v>
      </c>
      <c r="AC31">
        <v>-4.5750805548109043E-3</v>
      </c>
      <c r="AD31">
        <v>-4.6124187742254928E-3</v>
      </c>
      <c r="AE31">
        <v>7.3122784514326571E-3</v>
      </c>
      <c r="AF31">
        <v>0.10324901738318644</v>
      </c>
      <c r="AG31">
        <v>3.1250014205897042E-3</v>
      </c>
      <c r="AH31">
        <v>-2.0602314821609551E-2</v>
      </c>
    </row>
    <row r="32" spans="1:34" x14ac:dyDescent="0.2">
      <c r="A32" t="s">
        <v>72</v>
      </c>
      <c r="B32">
        <v>4.8205239389575258E-2</v>
      </c>
      <c r="C32">
        <v>-4.7613401370414857E-4</v>
      </c>
      <c r="D32">
        <v>-3.2768084041807037E-5</v>
      </c>
      <c r="E32">
        <v>1.6358384404269158E-7</v>
      </c>
      <c r="F32">
        <v>3.8684777698519651E-4</v>
      </c>
      <c r="G32">
        <v>5.2570244195465068E-4</v>
      </c>
      <c r="H32">
        <v>-1.1501145960014841E-5</v>
      </c>
      <c r="I32">
        <v>-2.2058161436381325E-6</v>
      </c>
      <c r="J32">
        <v>5.3942006834991371E-4</v>
      </c>
      <c r="K32">
        <v>2.807657463479544E-4</v>
      </c>
      <c r="L32">
        <v>-9.6384816120808606E-4</v>
      </c>
      <c r="M32">
        <v>-6.7502637613633769E-4</v>
      </c>
      <c r="N32">
        <v>-3.9519406770704952E-4</v>
      </c>
      <c r="O32">
        <v>1.3923655925257E-4</v>
      </c>
      <c r="P32">
        <v>-3.643547769541024E-4</v>
      </c>
      <c r="Q32">
        <v>1.9235059305383771E-3</v>
      </c>
      <c r="R32">
        <v>2.0953449363210661E-3</v>
      </c>
      <c r="S32">
        <v>1.8357515653340704E-3</v>
      </c>
      <c r="T32">
        <v>2.0354251848845569E-3</v>
      </c>
      <c r="U32">
        <v>1.3971580225515005E-3</v>
      </c>
      <c r="V32">
        <v>1.7769258453250694E-3</v>
      </c>
      <c r="W32">
        <v>2.4733326045846805E-3</v>
      </c>
      <c r="X32">
        <v>1.6420319603991439E-3</v>
      </c>
      <c r="Y32">
        <v>1.2204157632128704E-3</v>
      </c>
      <c r="Z32">
        <v>1.9460401187529556E-3</v>
      </c>
      <c r="AA32">
        <v>1.7713941572887293E-3</v>
      </c>
      <c r="AB32">
        <v>-8.7350637835899568E-6</v>
      </c>
      <c r="AC32">
        <v>-4.7263477844271697E-5</v>
      </c>
      <c r="AD32">
        <v>1.5067442613240153E-4</v>
      </c>
      <c r="AE32">
        <v>9.1591828632587658E-4</v>
      </c>
      <c r="AF32">
        <v>3.1250014205897042E-3</v>
      </c>
      <c r="AG32">
        <v>1.7588570108926112E-2</v>
      </c>
      <c r="AH32">
        <v>-3.3805314668258659E-5</v>
      </c>
    </row>
    <row r="33" spans="1:34" x14ac:dyDescent="0.2">
      <c r="A33" t="s">
        <v>29</v>
      </c>
      <c r="B33">
        <v>-19.839038298332174</v>
      </c>
      <c r="C33">
        <v>5.2508962943488349E-3</v>
      </c>
      <c r="D33">
        <v>-5.7821831565212534E-2</v>
      </c>
      <c r="E33">
        <v>4.4811652379675893E-4</v>
      </c>
      <c r="F33">
        <v>-1.8192579281988844E-3</v>
      </c>
      <c r="G33">
        <v>-1.9271281528022224E-3</v>
      </c>
      <c r="H33">
        <v>-1.4289522462194006E-4</v>
      </c>
      <c r="I33">
        <v>-1.9698256870561445E-4</v>
      </c>
      <c r="J33">
        <v>9.4577726645010962E-3</v>
      </c>
      <c r="K33">
        <v>-3.412094008266052E-2</v>
      </c>
      <c r="L33">
        <v>-1.0667054868579297E-2</v>
      </c>
      <c r="M33">
        <v>-1.8937269770191029E-2</v>
      </c>
      <c r="N33">
        <v>-2.0667478881057133E-2</v>
      </c>
      <c r="O33">
        <v>-2.7016199687086608E-2</v>
      </c>
      <c r="P33">
        <v>7.696425313080138E-3</v>
      </c>
      <c r="Q33">
        <v>-1.3568023619106966E-2</v>
      </c>
      <c r="R33">
        <v>-1.6097737061027566E-2</v>
      </c>
      <c r="S33">
        <v>-8.7718687943715394E-3</v>
      </c>
      <c r="T33">
        <v>-9.1502308540270492E-3</v>
      </c>
      <c r="U33">
        <v>-1.2308891839808243E-2</v>
      </c>
      <c r="V33">
        <v>-1.0511309422297842E-2</v>
      </c>
      <c r="W33">
        <v>-1.5203458809810663E-2</v>
      </c>
      <c r="X33">
        <v>-1.2537249223934174E-2</v>
      </c>
      <c r="Y33">
        <v>-1.3123495862023375E-2</v>
      </c>
      <c r="Z33">
        <v>-1.2842634515379609E-2</v>
      </c>
      <c r="AA33">
        <v>-8.7284983229015678E-3</v>
      </c>
      <c r="AB33">
        <v>-2.1228852502316875E-4</v>
      </c>
      <c r="AC33">
        <v>3.2139889691215782E-3</v>
      </c>
      <c r="AD33">
        <v>1.7901144137601049E-3</v>
      </c>
      <c r="AE33">
        <v>4.9615023109691649E-3</v>
      </c>
      <c r="AF33">
        <v>-2.0602314821609551E-2</v>
      </c>
      <c r="AG33">
        <v>-3.3805314668258659E-5</v>
      </c>
      <c r="AH33">
        <v>1.8985141785565709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36"/>
  <sheetViews>
    <sheetView topLeftCell="A4" workbookViewId="0">
      <selection activeCell="A18" sqref="A18:XFD18"/>
    </sheetView>
  </sheetViews>
  <sheetFormatPr baseColWidth="10" defaultColWidth="8.83203125" defaultRowHeight="15" x14ac:dyDescent="0.2"/>
  <cols>
    <col min="1" max="1" width="45.33203125" customWidth="1"/>
  </cols>
  <sheetData>
    <row r="1" spans="1:37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35</v>
      </c>
      <c r="L1" t="s">
        <v>20</v>
      </c>
      <c r="M1" t="s">
        <v>36</v>
      </c>
      <c r="N1" t="s">
        <v>37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26</v>
      </c>
      <c r="AF1" t="s">
        <v>27</v>
      </c>
      <c r="AG1" t="s">
        <v>28</v>
      </c>
      <c r="AH1" t="s">
        <v>70</v>
      </c>
      <c r="AI1" t="s">
        <v>71</v>
      </c>
      <c r="AJ1" t="s">
        <v>72</v>
      </c>
      <c r="AK1" t="s">
        <v>29</v>
      </c>
    </row>
    <row r="2" spans="1:37" x14ac:dyDescent="0.2">
      <c r="A2" t="s">
        <v>12</v>
      </c>
      <c r="B2">
        <v>-1.9013731010330326E-2</v>
      </c>
      <c r="C2">
        <v>5.785536760700748E-4</v>
      </c>
      <c r="D2">
        <v>1.0268953262848767E-4</v>
      </c>
      <c r="E2">
        <v>-1.0081463294915287E-6</v>
      </c>
      <c r="F2">
        <v>4.4002034535863877E-6</v>
      </c>
      <c r="G2">
        <v>-5.0608919817082094E-5</v>
      </c>
      <c r="H2">
        <v>1.3940964239745743E-7</v>
      </c>
      <c r="I2">
        <v>-2.4075719510249308E-6</v>
      </c>
      <c r="J2">
        <v>2.2797563171369684E-4</v>
      </c>
      <c r="K2">
        <v>-3.6127163143289698E-5</v>
      </c>
      <c r="L2">
        <v>2.1268532048885659E-4</v>
      </c>
      <c r="M2">
        <v>-3.3476014093944154E-5</v>
      </c>
      <c r="N2">
        <v>6.637257227163822E-5</v>
      </c>
      <c r="O2">
        <v>1.5003122428984409E-4</v>
      </c>
      <c r="P2">
        <v>1.62743827678011E-4</v>
      </c>
      <c r="Q2">
        <v>1.1807641921753834E-4</v>
      </c>
      <c r="R2">
        <v>1.209940986327505E-4</v>
      </c>
      <c r="S2">
        <v>-7.8999607765558455E-5</v>
      </c>
      <c r="T2">
        <v>-1.4076749368232124E-4</v>
      </c>
      <c r="U2">
        <v>-1.3668876581130927E-4</v>
      </c>
      <c r="V2">
        <v>-1.2714384213288857E-4</v>
      </c>
      <c r="W2">
        <v>-1.4837370159063166E-4</v>
      </c>
      <c r="X2">
        <v>-1.3961418688051587E-4</v>
      </c>
      <c r="Y2">
        <v>-7.9415749256957582E-5</v>
      </c>
      <c r="Z2">
        <v>-9.1012630209180809E-5</v>
      </c>
      <c r="AA2">
        <v>-1.0615727274146392E-4</v>
      </c>
      <c r="AB2">
        <v>-1.0874415870887853E-4</v>
      </c>
      <c r="AC2">
        <v>-1.3981323985803385E-4</v>
      </c>
      <c r="AD2">
        <v>-1.4487646141431079E-4</v>
      </c>
      <c r="AE2">
        <v>1.0162128339064042E-5</v>
      </c>
      <c r="AF2">
        <v>-2.3453540408357665E-5</v>
      </c>
      <c r="AG2">
        <v>-2.7265291777768441E-5</v>
      </c>
      <c r="AH2">
        <v>-1.6849243727772446E-4</v>
      </c>
      <c r="AI2">
        <v>-1.1026528545339022E-4</v>
      </c>
      <c r="AJ2">
        <v>-1.0897269162574364E-4</v>
      </c>
      <c r="AK2">
        <v>-2.9490861008723657E-3</v>
      </c>
    </row>
    <row r="3" spans="1:37" x14ac:dyDescent="0.2">
      <c r="A3" t="s">
        <v>13</v>
      </c>
      <c r="B3">
        <v>0.82256252466440527</v>
      </c>
      <c r="C3">
        <v>1.0268953262848767E-4</v>
      </c>
      <c r="D3">
        <v>1.5675270511112203E-3</v>
      </c>
      <c r="E3">
        <v>-1.2652534675541519E-5</v>
      </c>
      <c r="F3">
        <v>-9.9640347017872569E-5</v>
      </c>
      <c r="G3">
        <v>-2.6161215206960478E-4</v>
      </c>
      <c r="H3">
        <v>3.2838898703546789E-7</v>
      </c>
      <c r="I3">
        <v>-1.4848909540919174E-8</v>
      </c>
      <c r="J3">
        <v>1.5074428811599544E-4</v>
      </c>
      <c r="K3">
        <v>4.2847209241934784E-4</v>
      </c>
      <c r="L3">
        <v>1.7494325081545618E-4</v>
      </c>
      <c r="M3">
        <v>8.7917412063928842E-6</v>
      </c>
      <c r="N3">
        <v>1.5198222488824848E-5</v>
      </c>
      <c r="O3">
        <v>8.1774750105891199E-5</v>
      </c>
      <c r="P3">
        <v>3.1910361186970534E-6</v>
      </c>
      <c r="Q3">
        <v>-1.5415253390121909E-4</v>
      </c>
      <c r="R3">
        <v>-8.7746255646093362E-5</v>
      </c>
      <c r="S3">
        <v>-2.3405325429717101E-4</v>
      </c>
      <c r="T3">
        <v>-1.3800979012336227E-4</v>
      </c>
      <c r="U3">
        <v>-1.291117561138741E-4</v>
      </c>
      <c r="V3">
        <v>-1.306889230048465E-4</v>
      </c>
      <c r="W3">
        <v>-4.0177895607710701E-4</v>
      </c>
      <c r="X3">
        <v>-1.8408553893823655E-4</v>
      </c>
      <c r="Y3">
        <v>-2.1915515326749457E-4</v>
      </c>
      <c r="Z3">
        <v>-1.785041646923044E-4</v>
      </c>
      <c r="AA3">
        <v>-1.9975324902403099E-4</v>
      </c>
      <c r="AB3">
        <v>-1.773566380477605E-4</v>
      </c>
      <c r="AC3">
        <v>-1.9137172787013143E-4</v>
      </c>
      <c r="AD3">
        <v>-1.5108562567973938E-4</v>
      </c>
      <c r="AE3">
        <v>7.849012899872887E-8</v>
      </c>
      <c r="AF3">
        <v>2.2837210078036074E-5</v>
      </c>
      <c r="AG3">
        <v>8.0655170989410788E-5</v>
      </c>
      <c r="AH3">
        <v>-8.3373485761766009E-4</v>
      </c>
      <c r="AI3">
        <v>-2.7024915228294685E-4</v>
      </c>
      <c r="AJ3">
        <v>-5.6989290493764805E-5</v>
      </c>
      <c r="AK3">
        <v>-4.7990293773398959E-2</v>
      </c>
    </row>
    <row r="4" spans="1:37" x14ac:dyDescent="0.2">
      <c r="A4" t="s">
        <v>14</v>
      </c>
      <c r="B4">
        <v>-6.2310959546817042E-3</v>
      </c>
      <c r="C4">
        <v>-1.0081463294915287E-6</v>
      </c>
      <c r="D4">
        <v>-1.2652534675541519E-5</v>
      </c>
      <c r="E4">
        <v>1.0296347395692768E-7</v>
      </c>
      <c r="F4">
        <v>7.9244808566583658E-7</v>
      </c>
      <c r="G4">
        <v>2.0195718688339939E-6</v>
      </c>
      <c r="H4">
        <v>-2.9199975654178036E-9</v>
      </c>
      <c r="I4">
        <v>-4.0179976751079624E-9</v>
      </c>
      <c r="J4">
        <v>-1.9349634455041391E-6</v>
      </c>
      <c r="K4">
        <v>-3.6397174430503221E-6</v>
      </c>
      <c r="L4">
        <v>-1.4506675464336404E-6</v>
      </c>
      <c r="M4">
        <v>-6.6156625584078336E-8</v>
      </c>
      <c r="N4">
        <v>-3.8191845758167069E-7</v>
      </c>
      <c r="O4">
        <v>-7.554247262944707E-7</v>
      </c>
      <c r="P4">
        <v>-1.2266057900218698E-7</v>
      </c>
      <c r="Q4">
        <v>1.138755200183437E-6</v>
      </c>
      <c r="R4">
        <v>6.7278402655363684E-7</v>
      </c>
      <c r="S4">
        <v>1.9240756822626188E-6</v>
      </c>
      <c r="T4">
        <v>1.2042883778323938E-6</v>
      </c>
      <c r="U4">
        <v>1.0868317943096416E-6</v>
      </c>
      <c r="V4">
        <v>1.0945138267461931E-6</v>
      </c>
      <c r="W4">
        <v>3.095493393841669E-6</v>
      </c>
      <c r="X4">
        <v>1.5634587436423283E-6</v>
      </c>
      <c r="Y4">
        <v>1.7206505233916685E-6</v>
      </c>
      <c r="Z4">
        <v>1.4212110719954247E-6</v>
      </c>
      <c r="AA4">
        <v>1.610658166797599E-6</v>
      </c>
      <c r="AB4">
        <v>1.4622799959260289E-6</v>
      </c>
      <c r="AC4">
        <v>1.5439466581968549E-6</v>
      </c>
      <c r="AD4">
        <v>1.2548630716367943E-6</v>
      </c>
      <c r="AE4">
        <v>-3.2511178071194604E-8</v>
      </c>
      <c r="AF4">
        <v>-1.3026563647349111E-7</v>
      </c>
      <c r="AG4">
        <v>-5.8967962373266479E-7</v>
      </c>
      <c r="AH4">
        <v>6.2912148203760174E-6</v>
      </c>
      <c r="AI4">
        <v>2.215679399890369E-6</v>
      </c>
      <c r="AJ4">
        <v>3.6316603945082092E-7</v>
      </c>
      <c r="AK4">
        <v>3.8546273390321027E-4</v>
      </c>
    </row>
    <row r="5" spans="1:37" x14ac:dyDescent="0.2">
      <c r="A5" t="s">
        <v>15</v>
      </c>
      <c r="B5">
        <v>-7.1962484270410979E-2</v>
      </c>
      <c r="C5">
        <v>4.4002034535863877E-6</v>
      </c>
      <c r="D5">
        <v>-9.9640347017872569E-5</v>
      </c>
      <c r="E5">
        <v>7.9244808566583658E-7</v>
      </c>
      <c r="F5">
        <v>7.394505117594458E-4</v>
      </c>
      <c r="G5">
        <v>5.5453980861382753E-4</v>
      </c>
      <c r="H5">
        <v>2.54189582121258E-6</v>
      </c>
      <c r="I5">
        <v>-4.3169787682825714E-7</v>
      </c>
      <c r="J5">
        <v>1.8527315343839543E-5</v>
      </c>
      <c r="K5">
        <v>-2.3169127927129682E-5</v>
      </c>
      <c r="L5">
        <v>6.6535026385363586E-6</v>
      </c>
      <c r="M5">
        <v>5.7165279475016364E-5</v>
      </c>
      <c r="N5">
        <v>1.6099549837186797E-5</v>
      </c>
      <c r="O5">
        <v>-4.7352021808788448E-6</v>
      </c>
      <c r="P5">
        <v>-1.3357144647346121E-5</v>
      </c>
      <c r="Q5">
        <v>1.2412674467044953E-4</v>
      </c>
      <c r="R5">
        <v>2.0223338369558492E-4</v>
      </c>
      <c r="S5">
        <v>3.2375781226520921E-5</v>
      </c>
      <c r="T5">
        <v>8.4834912262411006E-6</v>
      </c>
      <c r="U5">
        <v>6.4646445108703981E-5</v>
      </c>
      <c r="V5">
        <v>6.6278471361010111E-5</v>
      </c>
      <c r="W5">
        <v>1.1837449896787951E-4</v>
      </c>
      <c r="X5">
        <v>-3.434930649510472E-5</v>
      </c>
      <c r="Y5">
        <v>4.1107701362213015E-5</v>
      </c>
      <c r="Z5">
        <v>6.5102817090749053E-5</v>
      </c>
      <c r="AA5">
        <v>7.710362010544583E-5</v>
      </c>
      <c r="AB5">
        <v>7.6732995502323814E-5</v>
      </c>
      <c r="AC5">
        <v>4.7783851454613954E-5</v>
      </c>
      <c r="AD5">
        <v>4.7056397075586026E-5</v>
      </c>
      <c r="AE5">
        <v>-1.3665483928457621E-6</v>
      </c>
      <c r="AF5">
        <v>4.5176933080198727E-5</v>
      </c>
      <c r="AG5">
        <v>1.5171779295750285E-5</v>
      </c>
      <c r="AH5">
        <v>4.2789019717801567E-4</v>
      </c>
      <c r="AI5">
        <v>2.3798470834969845E-4</v>
      </c>
      <c r="AJ5">
        <v>-1.0550372288826995E-4</v>
      </c>
      <c r="AK5">
        <v>2.3108054484257227E-3</v>
      </c>
    </row>
    <row r="6" spans="1:37" x14ac:dyDescent="0.2">
      <c r="A6" t="s">
        <v>16</v>
      </c>
      <c r="B6">
        <v>-0.18756033825249371</v>
      </c>
      <c r="C6">
        <v>-5.0608919817082094E-5</v>
      </c>
      <c r="D6">
        <v>-2.6161215206960478E-4</v>
      </c>
      <c r="E6">
        <v>2.0195718688339939E-6</v>
      </c>
      <c r="F6">
        <v>5.5453980861382753E-4</v>
      </c>
      <c r="G6">
        <v>1.2771311909745382E-3</v>
      </c>
      <c r="H6">
        <v>4.9565205229522247E-6</v>
      </c>
      <c r="I6">
        <v>1.2443653186456747E-6</v>
      </c>
      <c r="J6">
        <v>1.239730067345885E-5</v>
      </c>
      <c r="K6">
        <v>-3.533404365710019E-5</v>
      </c>
      <c r="L6">
        <v>-8.5324782121088907E-5</v>
      </c>
      <c r="M6">
        <v>7.8299540956528125E-5</v>
      </c>
      <c r="N6">
        <v>2.1670041725998356E-5</v>
      </c>
      <c r="O6">
        <v>1.2508816418614046E-4</v>
      </c>
      <c r="P6">
        <v>2.032127963913107E-4</v>
      </c>
      <c r="Q6">
        <v>4.715184642952009E-4</v>
      </c>
      <c r="R6">
        <v>5.4529799410154905E-4</v>
      </c>
      <c r="S6">
        <v>4.1922976395799156E-5</v>
      </c>
      <c r="T6">
        <v>-2.0190861863985516E-5</v>
      </c>
      <c r="U6">
        <v>6.3468463751741879E-5</v>
      </c>
      <c r="V6">
        <v>2.8008209233302498E-5</v>
      </c>
      <c r="W6">
        <v>2.644548334112099E-4</v>
      </c>
      <c r="X6">
        <v>-3.6329161593054947E-5</v>
      </c>
      <c r="Y6">
        <v>3.0110287943117071E-5</v>
      </c>
      <c r="Z6">
        <v>6.2594767561204771E-5</v>
      </c>
      <c r="AA6">
        <v>1.2476559147395921E-4</v>
      </c>
      <c r="AB6">
        <v>5.6895061845665799E-5</v>
      </c>
      <c r="AC6">
        <v>8.2262188764273573E-5</v>
      </c>
      <c r="AD6">
        <v>2.2916174842471985E-5</v>
      </c>
      <c r="AE6">
        <v>1.5195564765161848E-5</v>
      </c>
      <c r="AF6">
        <v>1.5078396633688926E-5</v>
      </c>
      <c r="AG6">
        <v>-5.2653986414530067E-5</v>
      </c>
      <c r="AH6">
        <v>9.2952403708289745E-4</v>
      </c>
      <c r="AI6">
        <v>2.5544460762382318E-4</v>
      </c>
      <c r="AJ6">
        <v>-4.6184744435509063E-5</v>
      </c>
      <c r="AK6">
        <v>6.7893510826053678E-3</v>
      </c>
    </row>
    <row r="7" spans="1:37" x14ac:dyDescent="0.2">
      <c r="A7" t="s">
        <v>17</v>
      </c>
      <c r="B7">
        <v>-3.6417009746723386E-4</v>
      </c>
      <c r="C7">
        <v>1.3940964239745743E-7</v>
      </c>
      <c r="D7">
        <v>3.2838898703546789E-7</v>
      </c>
      <c r="E7">
        <v>-2.9199975654178036E-9</v>
      </c>
      <c r="F7">
        <v>2.54189582121258E-6</v>
      </c>
      <c r="G7">
        <v>4.9565205229522247E-6</v>
      </c>
      <c r="H7">
        <v>1.57256937706604E-6</v>
      </c>
      <c r="I7">
        <v>1.0634739702066086E-7</v>
      </c>
      <c r="J7">
        <v>2.7208257075329731E-7</v>
      </c>
      <c r="K7">
        <v>-2.5142369464720544E-6</v>
      </c>
      <c r="L7">
        <v>5.9161855623218989E-6</v>
      </c>
      <c r="M7">
        <v>-2.0336531362779521E-6</v>
      </c>
      <c r="N7">
        <v>1.2341773283965005E-6</v>
      </c>
      <c r="O7">
        <v>1.3400837616326878E-6</v>
      </c>
      <c r="P7">
        <v>2.566747558486143E-6</v>
      </c>
      <c r="Q7">
        <v>3.133068813100193E-6</v>
      </c>
      <c r="R7">
        <v>-1.0842198062097548E-6</v>
      </c>
      <c r="S7">
        <v>2.2168626291462666E-5</v>
      </c>
      <c r="T7">
        <v>4.209429773345499E-6</v>
      </c>
      <c r="U7">
        <v>2.5762402971842474E-6</v>
      </c>
      <c r="V7">
        <v>1.662131574289372E-6</v>
      </c>
      <c r="W7">
        <v>6.2493865845474428E-6</v>
      </c>
      <c r="X7">
        <v>1.6992154877168886E-6</v>
      </c>
      <c r="Y7">
        <v>3.2024434561975723E-7</v>
      </c>
      <c r="Z7">
        <v>-2.8645114331110762E-7</v>
      </c>
      <c r="AA7">
        <v>6.823923964620755E-7</v>
      </c>
      <c r="AB7">
        <v>9.8633617696859417E-7</v>
      </c>
      <c r="AC7">
        <v>3.3446114642864718E-7</v>
      </c>
      <c r="AD7">
        <v>-2.3231426100599217E-7</v>
      </c>
      <c r="AE7">
        <v>4.9097869274834962E-7</v>
      </c>
      <c r="AF7">
        <v>-4.9007674781125873E-7</v>
      </c>
      <c r="AG7">
        <v>-1.0194135376936685E-6</v>
      </c>
      <c r="AH7">
        <v>1.8140153537414362E-5</v>
      </c>
      <c r="AI7">
        <v>-1.4376216278674196E-6</v>
      </c>
      <c r="AJ7">
        <v>-3.176204304544431E-6</v>
      </c>
      <c r="AK7">
        <v>-1.0677581452939313E-4</v>
      </c>
    </row>
    <row r="8" spans="1:37" x14ac:dyDescent="0.2">
      <c r="A8" t="s">
        <v>18</v>
      </c>
      <c r="B8">
        <v>5.4314256151544963E-4</v>
      </c>
      <c r="C8">
        <v>-2.4075719510249308E-6</v>
      </c>
      <c r="D8">
        <v>-1.4848909540919174E-8</v>
      </c>
      <c r="E8">
        <v>-4.0179976751079624E-9</v>
      </c>
      <c r="F8">
        <v>-4.3169787682825714E-7</v>
      </c>
      <c r="G8">
        <v>1.2443653186456747E-6</v>
      </c>
      <c r="H8">
        <v>1.0634739702066086E-7</v>
      </c>
      <c r="I8">
        <v>1.880972943274638E-6</v>
      </c>
      <c r="J8">
        <v>1.1761910567315709E-7</v>
      </c>
      <c r="K8">
        <v>-1.8838158884308803E-6</v>
      </c>
      <c r="L8">
        <v>5.8287792716947532E-6</v>
      </c>
      <c r="M8">
        <v>-1.08928892100341E-6</v>
      </c>
      <c r="N8">
        <v>-8.6443179240968046E-7</v>
      </c>
      <c r="O8">
        <v>-2.343702282061075E-7</v>
      </c>
      <c r="P8">
        <v>-1.2268116492098762E-6</v>
      </c>
      <c r="Q8">
        <v>-1.9197576395102501E-6</v>
      </c>
      <c r="R8">
        <v>-4.7182611600573076E-6</v>
      </c>
      <c r="S8">
        <v>1.0319359679819908E-5</v>
      </c>
      <c r="T8">
        <v>-1.3386246033100452E-6</v>
      </c>
      <c r="U8">
        <v>4.9063744253295916E-7</v>
      </c>
      <c r="V8">
        <v>-1.1274124815540445E-6</v>
      </c>
      <c r="W8">
        <v>7.5110763818677096E-6</v>
      </c>
      <c r="X8">
        <v>-9.0576174487123353E-7</v>
      </c>
      <c r="Y8">
        <v>-3.0332340447567971E-6</v>
      </c>
      <c r="Z8">
        <v>-1.5102673161189651E-6</v>
      </c>
      <c r="AA8">
        <v>-2.3193086197315934E-6</v>
      </c>
      <c r="AB8">
        <v>1.3339695296550345E-6</v>
      </c>
      <c r="AC8">
        <v>-7.5960542784378774E-7</v>
      </c>
      <c r="AD8">
        <v>-2.5852090172767971E-6</v>
      </c>
      <c r="AE8">
        <v>8.3697425558576573E-7</v>
      </c>
      <c r="AF8">
        <v>1.3910729597220066E-7</v>
      </c>
      <c r="AG8">
        <v>-1.6267991724267752E-7</v>
      </c>
      <c r="AH8">
        <v>2.2607428132652617E-5</v>
      </c>
      <c r="AI8">
        <v>-2.2315121399937973E-6</v>
      </c>
      <c r="AJ8">
        <v>5.7675289488895386E-6</v>
      </c>
      <c r="AK8">
        <v>-9.5657141485361427E-5</v>
      </c>
    </row>
    <row r="9" spans="1:37" x14ac:dyDescent="0.2">
      <c r="A9" t="s">
        <v>19</v>
      </c>
      <c r="B9">
        <v>0.53066151700602282</v>
      </c>
      <c r="C9">
        <v>2.2797563171369684E-4</v>
      </c>
      <c r="D9">
        <v>1.5074428811599544E-4</v>
      </c>
      <c r="E9">
        <v>-1.9349634455041391E-6</v>
      </c>
      <c r="F9">
        <v>1.8527315343839543E-5</v>
      </c>
      <c r="G9">
        <v>1.239730067345885E-5</v>
      </c>
      <c r="H9">
        <v>2.7208257075329731E-7</v>
      </c>
      <c r="I9">
        <v>1.1761910567315709E-7</v>
      </c>
      <c r="J9">
        <v>1.5012083188324088E-3</v>
      </c>
      <c r="K9">
        <v>-5.0227633905706179E-4</v>
      </c>
      <c r="L9">
        <v>3.3483680608615592E-4</v>
      </c>
      <c r="M9">
        <v>-1.3003580127646114E-5</v>
      </c>
      <c r="N9">
        <v>-8.3740730873960455E-5</v>
      </c>
      <c r="O9">
        <v>1.054462959085799E-4</v>
      </c>
      <c r="P9">
        <v>7.774914991709926E-5</v>
      </c>
      <c r="Q9">
        <v>1.0345135674617501E-4</v>
      </c>
      <c r="R9">
        <v>9.9000694178431366E-5</v>
      </c>
      <c r="S9">
        <v>-6.6622054526550308E-5</v>
      </c>
      <c r="T9">
        <v>3.8826834910372118E-5</v>
      </c>
      <c r="U9">
        <v>2.9191038005571481E-5</v>
      </c>
      <c r="V9">
        <v>3.4304499259556957E-5</v>
      </c>
      <c r="W9">
        <v>1.1912587759740665E-4</v>
      </c>
      <c r="X9">
        <v>2.8717874602259799E-5</v>
      </c>
      <c r="Y9">
        <v>8.5722453962671697E-5</v>
      </c>
      <c r="Z9">
        <v>4.7653479924381417E-5</v>
      </c>
      <c r="AA9">
        <v>4.9357137699675862E-5</v>
      </c>
      <c r="AB9">
        <v>3.7810867104708231E-5</v>
      </c>
      <c r="AC9">
        <v>7.2013749747822315E-5</v>
      </c>
      <c r="AD9">
        <v>3.2203629060239625E-5</v>
      </c>
      <c r="AE9">
        <v>3.2893393994134096E-5</v>
      </c>
      <c r="AF9">
        <v>-6.764597286176659E-6</v>
      </c>
      <c r="AG9">
        <v>-3.1980213817982954E-5</v>
      </c>
      <c r="AH9">
        <v>1.4749057539802601E-4</v>
      </c>
      <c r="AI9">
        <v>-1.1640705399498189E-5</v>
      </c>
      <c r="AJ9">
        <v>-6.1074970153629461E-5</v>
      </c>
      <c r="AK9">
        <v>-3.2316150674468261E-3</v>
      </c>
    </row>
    <row r="10" spans="1:37" x14ac:dyDescent="0.2">
      <c r="A10" t="s">
        <v>35</v>
      </c>
      <c r="B10">
        <v>0.52365621761868297</v>
      </c>
      <c r="C10">
        <v>-3.6127163143289698E-5</v>
      </c>
      <c r="D10">
        <v>4.2847209241934784E-4</v>
      </c>
      <c r="E10">
        <v>-3.6397174430503221E-6</v>
      </c>
      <c r="F10">
        <v>-2.3169127927129682E-5</v>
      </c>
      <c r="G10">
        <v>-3.533404365710019E-5</v>
      </c>
      <c r="H10">
        <v>-2.5142369464720544E-6</v>
      </c>
      <c r="I10">
        <v>-1.8838158884308803E-6</v>
      </c>
      <c r="J10">
        <v>-5.0227633905706179E-4</v>
      </c>
      <c r="K10">
        <v>4.2707620770359497E-3</v>
      </c>
      <c r="L10">
        <v>-1.2499233549008255E-3</v>
      </c>
      <c r="M10">
        <v>2.7185690265069161E-5</v>
      </c>
      <c r="N10">
        <v>4.2044293675202191E-5</v>
      </c>
      <c r="O10">
        <v>-2.2288273172857247E-4</v>
      </c>
      <c r="P10">
        <v>-1.5205351018287715E-4</v>
      </c>
      <c r="Q10">
        <v>-1.9739396594778142E-4</v>
      </c>
      <c r="R10">
        <v>-2.7887613640823535E-4</v>
      </c>
      <c r="S10">
        <v>1.8185199229593066E-4</v>
      </c>
      <c r="T10">
        <v>8.8171849757515824E-5</v>
      </c>
      <c r="U10">
        <v>-4.4218989801295128E-5</v>
      </c>
      <c r="V10">
        <v>-2.4626665151459767E-5</v>
      </c>
      <c r="W10">
        <v>6.4951568657656495E-5</v>
      </c>
      <c r="X10">
        <v>-1.4630701379257476E-5</v>
      </c>
      <c r="Y10">
        <v>2.5160550474571074E-5</v>
      </c>
      <c r="Z10">
        <v>1.1722927092457959E-5</v>
      </c>
      <c r="AA10">
        <v>1.8441950725514057E-5</v>
      </c>
      <c r="AB10">
        <v>3.0336478600940728E-5</v>
      </c>
      <c r="AC10">
        <v>3.4194373792645685E-5</v>
      </c>
      <c r="AD10">
        <v>-1.2523633483445783E-4</v>
      </c>
      <c r="AE10">
        <v>6.7686322231716965E-6</v>
      </c>
      <c r="AF10">
        <v>1.1182533078801142E-5</v>
      </c>
      <c r="AG10">
        <v>9.2664659283076814E-5</v>
      </c>
      <c r="AH10">
        <v>3.3231486570326797E-4</v>
      </c>
      <c r="AI10">
        <v>-7.7980453216202478E-5</v>
      </c>
      <c r="AJ10">
        <v>2.4653306091044439E-4</v>
      </c>
      <c r="AK10">
        <v>-1.1995536509908603E-2</v>
      </c>
    </row>
    <row r="11" spans="1:37" x14ac:dyDescent="0.2">
      <c r="A11" t="s">
        <v>20</v>
      </c>
      <c r="B11">
        <v>0.6157446611147338</v>
      </c>
      <c r="C11">
        <v>2.1268532048885659E-4</v>
      </c>
      <c r="D11">
        <v>1.7494325081545618E-4</v>
      </c>
      <c r="E11">
        <v>-1.4506675464336404E-6</v>
      </c>
      <c r="F11">
        <v>6.6535026385363586E-6</v>
      </c>
      <c r="G11">
        <v>-8.5324782121088907E-5</v>
      </c>
      <c r="H11">
        <v>5.9161855623218989E-6</v>
      </c>
      <c r="I11">
        <v>5.8287792716947532E-6</v>
      </c>
      <c r="J11">
        <v>3.3483680608615592E-4</v>
      </c>
      <c r="K11">
        <v>-1.2499233549008255E-3</v>
      </c>
      <c r="L11">
        <v>1.9501108060985641E-3</v>
      </c>
      <c r="M11">
        <v>1.2104456289250599E-4</v>
      </c>
      <c r="N11">
        <v>2.9029789989040333E-5</v>
      </c>
      <c r="O11">
        <v>4.3966024066549592E-4</v>
      </c>
      <c r="P11">
        <v>8.7804091176202055E-4</v>
      </c>
      <c r="Q11">
        <v>9.8636302361573857E-4</v>
      </c>
      <c r="R11">
        <v>1.1165517307024837E-3</v>
      </c>
      <c r="S11">
        <v>-6.0349552477172597E-4</v>
      </c>
      <c r="T11">
        <v>-3.0723825526893971E-4</v>
      </c>
      <c r="U11">
        <v>-1.2995938998789768E-4</v>
      </c>
      <c r="V11">
        <v>-1.462503005767125E-4</v>
      </c>
      <c r="W11">
        <v>-2.8454128641159596E-4</v>
      </c>
      <c r="X11">
        <v>-1.4913357607869654E-4</v>
      </c>
      <c r="Y11">
        <v>-2.1923576889149076E-4</v>
      </c>
      <c r="Z11">
        <v>-2.2545123333828944E-4</v>
      </c>
      <c r="AA11">
        <v>-1.6942530092768681E-4</v>
      </c>
      <c r="AB11">
        <v>-1.7605170800394712E-4</v>
      </c>
      <c r="AC11">
        <v>-2.4402787920659377E-4</v>
      </c>
      <c r="AD11">
        <v>-1.5217333784300988E-4</v>
      </c>
      <c r="AE11">
        <v>6.2210124051197309E-6</v>
      </c>
      <c r="AF11">
        <v>-4.1269067807731571E-5</v>
      </c>
      <c r="AG11">
        <v>-4.5426384169085698E-5</v>
      </c>
      <c r="AH11">
        <v>-7.8044436728094864E-4</v>
      </c>
      <c r="AI11">
        <v>-1.4083739087296116E-4</v>
      </c>
      <c r="AJ11">
        <v>-5.4224554898171275E-4</v>
      </c>
      <c r="AK11">
        <v>-7.1665992600321009E-3</v>
      </c>
    </row>
    <row r="12" spans="1:37" x14ac:dyDescent="0.2">
      <c r="A12" t="s">
        <v>36</v>
      </c>
      <c r="B12">
        <v>0.32592073721252496</v>
      </c>
      <c r="C12">
        <v>-3.3476014093944154E-5</v>
      </c>
      <c r="D12">
        <v>8.7917412063928842E-6</v>
      </c>
      <c r="E12">
        <v>-6.6156625584078336E-8</v>
      </c>
      <c r="F12">
        <v>5.7165279475016364E-5</v>
      </c>
      <c r="G12">
        <v>7.8299540956528125E-5</v>
      </c>
      <c r="H12">
        <v>-2.0336531362779521E-6</v>
      </c>
      <c r="I12">
        <v>-1.08928892100341E-6</v>
      </c>
      <c r="J12">
        <v>-1.3003580127646114E-5</v>
      </c>
      <c r="K12">
        <v>2.7185690265069161E-5</v>
      </c>
      <c r="L12">
        <v>1.2104456289250599E-4</v>
      </c>
      <c r="M12">
        <v>7.7651967695974231E-4</v>
      </c>
      <c r="N12">
        <v>-2.722183431223044E-4</v>
      </c>
      <c r="O12">
        <v>2.6123441047039688E-4</v>
      </c>
      <c r="P12">
        <v>4.2458341760215465E-4</v>
      </c>
      <c r="Q12">
        <v>5.8956115966725387E-4</v>
      </c>
      <c r="R12">
        <v>7.1975703391018208E-4</v>
      </c>
      <c r="S12">
        <v>-4.2202537118238301E-5</v>
      </c>
      <c r="T12">
        <v>-1.3811153794391595E-4</v>
      </c>
      <c r="U12">
        <v>-1.1524769736941318E-4</v>
      </c>
      <c r="V12">
        <v>-1.1007560033891303E-4</v>
      </c>
      <c r="W12">
        <v>-1.8552773687459596E-4</v>
      </c>
      <c r="X12">
        <v>-1.0414758561625025E-4</v>
      </c>
      <c r="Y12">
        <v>-1.1102932411271782E-4</v>
      </c>
      <c r="Z12">
        <v>-1.2523563364036014E-4</v>
      </c>
      <c r="AA12">
        <v>-9.37598701090361E-5</v>
      </c>
      <c r="AB12">
        <v>-1.268961907602738E-4</v>
      </c>
      <c r="AC12">
        <v>-1.3581781385474747E-4</v>
      </c>
      <c r="AD12">
        <v>-1.6413314948791744E-4</v>
      </c>
      <c r="AE12">
        <v>-6.8730494535469535E-6</v>
      </c>
      <c r="AF12">
        <v>1.8514119337455546E-5</v>
      </c>
      <c r="AG12">
        <v>-3.2029852000135192E-5</v>
      </c>
      <c r="AH12">
        <v>-4.3101120499278005E-4</v>
      </c>
      <c r="AI12">
        <v>7.3520470892198594E-7</v>
      </c>
      <c r="AJ12">
        <v>-1.6500221787914997E-4</v>
      </c>
      <c r="AK12">
        <v>-7.4034499525771672E-4</v>
      </c>
    </row>
    <row r="13" spans="1:37" x14ac:dyDescent="0.2">
      <c r="A13" t="s">
        <v>37</v>
      </c>
      <c r="B13">
        <v>6.2798697014279231E-2</v>
      </c>
      <c r="C13">
        <v>6.637257227163822E-5</v>
      </c>
      <c r="D13">
        <v>1.5198222488824848E-5</v>
      </c>
      <c r="E13">
        <v>-3.8191845758167069E-7</v>
      </c>
      <c r="F13">
        <v>1.6099549837186797E-5</v>
      </c>
      <c r="G13">
        <v>2.1670041725998356E-5</v>
      </c>
      <c r="H13">
        <v>1.2341773283965005E-6</v>
      </c>
      <c r="I13">
        <v>-8.6443179240968046E-7</v>
      </c>
      <c r="J13">
        <v>-8.3740730873960455E-5</v>
      </c>
      <c r="K13">
        <v>4.2044293675202191E-5</v>
      </c>
      <c r="L13">
        <v>2.9029789989040333E-5</v>
      </c>
      <c r="M13">
        <v>-2.722183431223044E-4</v>
      </c>
      <c r="N13">
        <v>9.0320343275396547E-4</v>
      </c>
      <c r="O13">
        <v>-1.8707761538704136E-4</v>
      </c>
      <c r="P13">
        <v>-1.713907704025559E-4</v>
      </c>
      <c r="Q13">
        <v>-1.2368857022266187E-4</v>
      </c>
      <c r="R13">
        <v>-1.2911378613674035E-4</v>
      </c>
      <c r="S13">
        <v>2.6777805356750362E-5</v>
      </c>
      <c r="T13">
        <v>5.2790524404821536E-5</v>
      </c>
      <c r="U13">
        <v>2.4611789094783465E-5</v>
      </c>
      <c r="V13">
        <v>6.56193707768561E-5</v>
      </c>
      <c r="W13">
        <v>1.1699792792313703E-4</v>
      </c>
      <c r="X13">
        <v>7.1584492733042774E-6</v>
      </c>
      <c r="Y13">
        <v>4.1785545164942141E-5</v>
      </c>
      <c r="Z13">
        <v>5.2478640289647835E-5</v>
      </c>
      <c r="AA13">
        <v>3.5417719209104371E-6</v>
      </c>
      <c r="AB13">
        <v>1.5676241696271982E-5</v>
      </c>
      <c r="AC13">
        <v>5.6823563093504544E-5</v>
      </c>
      <c r="AD13">
        <v>9.8704348399755872E-5</v>
      </c>
      <c r="AE13">
        <v>1.3348089037253026E-5</v>
      </c>
      <c r="AF13">
        <v>-4.3856560160811536E-5</v>
      </c>
      <c r="AG13">
        <v>-8.6046620647967315E-8</v>
      </c>
      <c r="AH13">
        <v>1.7930030439074183E-4</v>
      </c>
      <c r="AI13">
        <v>-2.8752949196363001E-5</v>
      </c>
      <c r="AJ13">
        <v>1.6789346649541132E-4</v>
      </c>
      <c r="AK13">
        <v>1.4817325922928076E-4</v>
      </c>
    </row>
    <row r="14" spans="1:37" x14ac:dyDescent="0.2">
      <c r="A14" t="s">
        <v>21</v>
      </c>
      <c r="B14">
        <v>0.12108493865355388</v>
      </c>
      <c r="C14">
        <v>1.5003122428984409E-4</v>
      </c>
      <c r="D14">
        <v>8.1774750105891199E-5</v>
      </c>
      <c r="E14">
        <v>-7.554247262944707E-7</v>
      </c>
      <c r="F14">
        <v>-4.7352021808788448E-6</v>
      </c>
      <c r="G14">
        <v>1.2508816418614046E-4</v>
      </c>
      <c r="H14">
        <v>1.3400837616326878E-6</v>
      </c>
      <c r="I14">
        <v>-2.343702282061075E-7</v>
      </c>
      <c r="J14">
        <v>1.054462959085799E-4</v>
      </c>
      <c r="K14">
        <v>-2.2288273172857247E-4</v>
      </c>
      <c r="L14">
        <v>4.3966024066549592E-4</v>
      </c>
      <c r="M14">
        <v>2.6123441047039688E-4</v>
      </c>
      <c r="N14">
        <v>-1.8707761538704136E-4</v>
      </c>
      <c r="O14">
        <v>4.5371037515762403E-3</v>
      </c>
      <c r="P14">
        <v>3.512937166925351E-3</v>
      </c>
      <c r="Q14">
        <v>3.641331148208791E-3</v>
      </c>
      <c r="R14">
        <v>3.6842700849778866E-3</v>
      </c>
      <c r="S14">
        <v>3.2140224443260619E-4</v>
      </c>
      <c r="T14">
        <v>-9.3641285997410209E-5</v>
      </c>
      <c r="U14">
        <v>-9.0858665272139112E-5</v>
      </c>
      <c r="V14">
        <v>6.2202904671246687E-6</v>
      </c>
      <c r="W14">
        <v>-2.0991371241509382E-4</v>
      </c>
      <c r="X14">
        <v>-9.6796145964586459E-5</v>
      </c>
      <c r="Y14">
        <v>-9.5540126501185039E-5</v>
      </c>
      <c r="Z14">
        <v>-9.0112602034906784E-5</v>
      </c>
      <c r="AA14">
        <v>-6.6994065653447864E-5</v>
      </c>
      <c r="AB14">
        <v>-1.1458018415592486E-4</v>
      </c>
      <c r="AC14">
        <v>3.8640425591088788E-5</v>
      </c>
      <c r="AD14">
        <v>-1.9091847919144346E-5</v>
      </c>
      <c r="AE14">
        <v>-3.7604504411962829E-6</v>
      </c>
      <c r="AF14">
        <v>-6.4192070363798797E-5</v>
      </c>
      <c r="AG14">
        <v>4.0625830921712375E-5</v>
      </c>
      <c r="AH14">
        <v>8.3159104870014766E-5</v>
      </c>
      <c r="AI14">
        <v>-6.7078382566428552E-5</v>
      </c>
      <c r="AJ14">
        <v>-1.8604293492476909E-4</v>
      </c>
      <c r="AK14">
        <v>-5.9383850132808738E-3</v>
      </c>
    </row>
    <row r="15" spans="1:37" x14ac:dyDescent="0.2">
      <c r="A15" t="s">
        <v>22</v>
      </c>
      <c r="B15">
        <v>0.20245439514756142</v>
      </c>
      <c r="C15">
        <v>1.62743827678011E-4</v>
      </c>
      <c r="D15">
        <v>3.1910361186970534E-6</v>
      </c>
      <c r="E15">
        <v>-1.2266057900218698E-7</v>
      </c>
      <c r="F15">
        <v>-1.3357144647346121E-5</v>
      </c>
      <c r="G15">
        <v>2.032127963913107E-4</v>
      </c>
      <c r="H15">
        <v>2.566747558486143E-6</v>
      </c>
      <c r="I15">
        <v>-1.2268116492098762E-6</v>
      </c>
      <c r="J15">
        <v>7.774914991709926E-5</v>
      </c>
      <c r="K15">
        <v>-1.5205351018287715E-4</v>
      </c>
      <c r="L15">
        <v>8.7804091176202055E-4</v>
      </c>
      <c r="M15">
        <v>4.2458341760215465E-4</v>
      </c>
      <c r="N15">
        <v>-1.713907704025559E-4</v>
      </c>
      <c r="O15">
        <v>3.512937166925351E-3</v>
      </c>
      <c r="P15">
        <v>4.6682470964595282E-3</v>
      </c>
      <c r="Q15">
        <v>4.2838229952851942E-3</v>
      </c>
      <c r="R15">
        <v>4.3706784446052773E-3</v>
      </c>
      <c r="S15">
        <v>4.9315082723405462E-4</v>
      </c>
      <c r="T15">
        <v>-4.4232775130319518E-4</v>
      </c>
      <c r="U15">
        <v>-3.3371187303851712E-4</v>
      </c>
      <c r="V15">
        <v>-2.3344381561079836E-4</v>
      </c>
      <c r="W15">
        <v>-3.7183109864928529E-4</v>
      </c>
      <c r="X15">
        <v>-2.9485352161920126E-4</v>
      </c>
      <c r="Y15">
        <v>-2.8681225117792113E-4</v>
      </c>
      <c r="Z15">
        <v>-3.0986130662632506E-4</v>
      </c>
      <c r="AA15">
        <v>-2.5141624604918078E-4</v>
      </c>
      <c r="AB15">
        <v>-2.9485208585206413E-4</v>
      </c>
      <c r="AC15">
        <v>-2.5312978662146322E-4</v>
      </c>
      <c r="AD15">
        <v>-2.0098961217582603E-4</v>
      </c>
      <c r="AE15">
        <v>-1.4608143271119299E-6</v>
      </c>
      <c r="AF15">
        <v>-1.7809960616795131E-4</v>
      </c>
      <c r="AG15">
        <v>-7.5715752952652473E-5</v>
      </c>
      <c r="AH15">
        <v>6.1260860694209527E-5</v>
      </c>
      <c r="AI15">
        <v>-8.4708434244108299E-5</v>
      </c>
      <c r="AJ15">
        <v>-2.3942519875711074E-4</v>
      </c>
      <c r="AK15">
        <v>-4.1149042663060293E-3</v>
      </c>
    </row>
    <row r="16" spans="1:37" x14ac:dyDescent="0.2">
      <c r="A16" t="s">
        <v>23</v>
      </c>
      <c r="B16">
        <v>0.27561583669022355</v>
      </c>
      <c r="C16">
        <v>1.1807641921753834E-4</v>
      </c>
      <c r="D16">
        <v>-1.5415253390121909E-4</v>
      </c>
      <c r="E16">
        <v>1.138755200183437E-6</v>
      </c>
      <c r="F16">
        <v>1.2412674467044953E-4</v>
      </c>
      <c r="G16">
        <v>4.715184642952009E-4</v>
      </c>
      <c r="H16">
        <v>3.133068813100193E-6</v>
      </c>
      <c r="I16">
        <v>-1.9197576395102501E-6</v>
      </c>
      <c r="J16">
        <v>1.0345135674617501E-4</v>
      </c>
      <c r="K16">
        <v>-1.9739396594778142E-4</v>
      </c>
      <c r="L16">
        <v>9.8636302361573857E-4</v>
      </c>
      <c r="M16">
        <v>5.8956115966725387E-4</v>
      </c>
      <c r="N16">
        <v>-1.2368857022266187E-4</v>
      </c>
      <c r="O16">
        <v>3.641331148208791E-3</v>
      </c>
      <c r="P16">
        <v>4.2838229952851942E-3</v>
      </c>
      <c r="Q16">
        <v>5.1783515176516233E-3</v>
      </c>
      <c r="R16">
        <v>4.8683648552567613E-3</v>
      </c>
      <c r="S16">
        <v>6.4543762346519246E-4</v>
      </c>
      <c r="T16">
        <v>-2.2300408294156806E-4</v>
      </c>
      <c r="U16">
        <v>-8.3042309582581869E-5</v>
      </c>
      <c r="V16">
        <v>3.0410350110593324E-6</v>
      </c>
      <c r="W16">
        <v>6.0487965491642302E-5</v>
      </c>
      <c r="X16">
        <v>-2.9222699178777563E-5</v>
      </c>
      <c r="Y16">
        <v>-7.5020845969182913E-5</v>
      </c>
      <c r="Z16">
        <v>-9.8629989277726395E-5</v>
      </c>
      <c r="AA16">
        <v>3.4494869864599769E-5</v>
      </c>
      <c r="AB16">
        <v>-5.8376146035927449E-5</v>
      </c>
      <c r="AC16">
        <v>-7.1926177289073547E-6</v>
      </c>
      <c r="AD16">
        <v>8.1472104006682792E-5</v>
      </c>
      <c r="AE16">
        <v>1.3458493274317435E-6</v>
      </c>
      <c r="AF16">
        <v>-1.7842705781965807E-4</v>
      </c>
      <c r="AG16">
        <v>-3.9876368257274741E-5</v>
      </c>
      <c r="AH16">
        <v>9.8969571092102893E-4</v>
      </c>
      <c r="AI16">
        <v>6.2118339099414893E-5</v>
      </c>
      <c r="AJ16">
        <v>-3.1926678645674751E-4</v>
      </c>
      <c r="AK16">
        <v>-1.5958110628015894E-4</v>
      </c>
    </row>
    <row r="17" spans="1:37" x14ac:dyDescent="0.2">
      <c r="A17" t="s">
        <v>24</v>
      </c>
      <c r="B17">
        <v>0.44594745078484177</v>
      </c>
      <c r="C17">
        <v>1.209940986327505E-4</v>
      </c>
      <c r="D17">
        <v>-8.7746255646093362E-5</v>
      </c>
      <c r="E17">
        <v>6.7278402655363684E-7</v>
      </c>
      <c r="F17">
        <v>2.0223338369558492E-4</v>
      </c>
      <c r="G17">
        <v>5.4529799410154905E-4</v>
      </c>
      <c r="H17">
        <v>-1.0842198062097548E-6</v>
      </c>
      <c r="I17">
        <v>-4.7182611600573076E-6</v>
      </c>
      <c r="J17">
        <v>9.9000694178431366E-5</v>
      </c>
      <c r="K17">
        <v>-2.7887613640823535E-4</v>
      </c>
      <c r="L17">
        <v>1.1165517307024837E-3</v>
      </c>
      <c r="M17">
        <v>7.1975703391018208E-4</v>
      </c>
      <c r="N17">
        <v>-1.2911378613674035E-4</v>
      </c>
      <c r="O17">
        <v>3.6842700849778866E-3</v>
      </c>
      <c r="P17">
        <v>4.3706784446052773E-3</v>
      </c>
      <c r="Q17">
        <v>4.8683648552567613E-3</v>
      </c>
      <c r="R17">
        <v>5.3897579116488981E-3</v>
      </c>
      <c r="S17">
        <v>5.6217258446184415E-4</v>
      </c>
      <c r="T17">
        <v>-2.3614587122200458E-4</v>
      </c>
      <c r="U17">
        <v>-7.9041762989075313E-5</v>
      </c>
      <c r="V17">
        <v>2.4091122710313871E-5</v>
      </c>
      <c r="W17">
        <v>-1.6248782668816004E-4</v>
      </c>
      <c r="X17">
        <v>-1.4483381370155755E-5</v>
      </c>
      <c r="Y17">
        <v>-1.2548256158379434E-4</v>
      </c>
      <c r="Z17">
        <v>-1.7717369935434536E-4</v>
      </c>
      <c r="AA17">
        <v>-1.3781927096359354E-5</v>
      </c>
      <c r="AB17">
        <v>-9.081397617200556E-5</v>
      </c>
      <c r="AC17">
        <v>-2.9188270194343549E-5</v>
      </c>
      <c r="AD17">
        <v>5.3782280086573774E-5</v>
      </c>
      <c r="AE17">
        <v>-6.3393396945406796E-6</v>
      </c>
      <c r="AF17">
        <v>-1.3073894500752588E-4</v>
      </c>
      <c r="AG17">
        <v>-3.0022754991403968E-5</v>
      </c>
      <c r="AH17">
        <v>2.0554246463390683E-4</v>
      </c>
      <c r="AI17">
        <v>1.6045009566062864E-4</v>
      </c>
      <c r="AJ17">
        <v>-2.2480670849005279E-4</v>
      </c>
      <c r="AK17">
        <v>-2.2204445183466714E-3</v>
      </c>
    </row>
    <row r="18" spans="1:37" x14ac:dyDescent="0.2">
      <c r="A18" t="s">
        <v>25</v>
      </c>
      <c r="B18">
        <v>-0.12867559418655333</v>
      </c>
      <c r="C18">
        <v>-7.8999607765558455E-5</v>
      </c>
      <c r="D18">
        <v>-2.3405325429717101E-4</v>
      </c>
      <c r="E18">
        <v>1.9240756822626188E-6</v>
      </c>
      <c r="F18">
        <v>3.2375781226520921E-5</v>
      </c>
      <c r="G18">
        <v>4.1922976395799156E-5</v>
      </c>
      <c r="H18">
        <v>2.2168626291462666E-5</v>
      </c>
      <c r="I18">
        <v>1.0319359679819908E-5</v>
      </c>
      <c r="J18">
        <v>-6.6622054526550308E-5</v>
      </c>
      <c r="K18">
        <v>1.8185199229593066E-4</v>
      </c>
      <c r="L18">
        <v>-6.0349552477172597E-4</v>
      </c>
      <c r="M18">
        <v>-4.2202537118238301E-5</v>
      </c>
      <c r="N18">
        <v>2.6777805356750362E-5</v>
      </c>
      <c r="O18">
        <v>3.2140224443260619E-4</v>
      </c>
      <c r="P18">
        <v>4.9315082723405462E-4</v>
      </c>
      <c r="Q18">
        <v>6.4543762346519246E-4</v>
      </c>
      <c r="R18">
        <v>5.6217258446184415E-4</v>
      </c>
      <c r="S18">
        <v>2.2852743602343544E-3</v>
      </c>
      <c r="T18">
        <v>5.5465216603584446E-5</v>
      </c>
      <c r="U18">
        <v>7.8724558805901143E-5</v>
      </c>
      <c r="V18">
        <v>5.4240235730450455E-5</v>
      </c>
      <c r="W18">
        <v>2.1668946437794912E-4</v>
      </c>
      <c r="X18">
        <v>9.7402159646647586E-5</v>
      </c>
      <c r="Y18">
        <v>6.2735443435173958E-5</v>
      </c>
      <c r="Z18">
        <v>6.5107524141149982E-5</v>
      </c>
      <c r="AA18">
        <v>3.7339325413681844E-5</v>
      </c>
      <c r="AB18">
        <v>2.9730759396063774E-5</v>
      </c>
      <c r="AC18">
        <v>-1.6620461373493189E-5</v>
      </c>
      <c r="AD18">
        <v>-5.783384080653136E-5</v>
      </c>
      <c r="AE18">
        <v>-3.4904252159799216E-6</v>
      </c>
      <c r="AF18">
        <v>2.0587389307623327E-5</v>
      </c>
      <c r="AG18">
        <v>5.8612399539331267E-5</v>
      </c>
      <c r="AH18">
        <v>7.6673545361830497E-4</v>
      </c>
      <c r="AI18">
        <v>6.2689569637985106E-5</v>
      </c>
      <c r="AJ18">
        <v>2.4263108877090023E-4</v>
      </c>
      <c r="AK18">
        <v>4.8419191961647208E-3</v>
      </c>
    </row>
    <row r="19" spans="1:37" x14ac:dyDescent="0.2">
      <c r="A19" t="s">
        <v>57</v>
      </c>
      <c r="B19">
        <v>0.23393749477395737</v>
      </c>
      <c r="C19">
        <v>-1.4076749368232124E-4</v>
      </c>
      <c r="D19">
        <v>-1.3800979012336227E-4</v>
      </c>
      <c r="E19">
        <v>1.2042883778323938E-6</v>
      </c>
      <c r="F19">
        <v>8.4834912262411006E-6</v>
      </c>
      <c r="G19">
        <v>-2.0190861863985516E-5</v>
      </c>
      <c r="H19">
        <v>4.209429773345499E-6</v>
      </c>
      <c r="I19">
        <v>-1.3386246033100452E-6</v>
      </c>
      <c r="J19">
        <v>3.8826834910372118E-5</v>
      </c>
      <c r="K19">
        <v>8.8171849757515824E-5</v>
      </c>
      <c r="L19">
        <v>-3.0723825526893971E-4</v>
      </c>
      <c r="M19">
        <v>-1.3811153794391595E-4</v>
      </c>
      <c r="N19">
        <v>5.2790524404821536E-5</v>
      </c>
      <c r="O19">
        <v>-9.3641285997410209E-5</v>
      </c>
      <c r="P19">
        <v>-4.4232775130319518E-4</v>
      </c>
      <c r="Q19">
        <v>-2.2300408294156806E-4</v>
      </c>
      <c r="R19">
        <v>-2.3614587122200458E-4</v>
      </c>
      <c r="S19">
        <v>5.5465216603584446E-5</v>
      </c>
      <c r="T19">
        <v>5.4477216533576189E-3</v>
      </c>
      <c r="U19">
        <v>2.7230228607272328E-3</v>
      </c>
      <c r="V19">
        <v>2.7102442082326955E-3</v>
      </c>
      <c r="W19">
        <v>2.9642706256490302E-3</v>
      </c>
      <c r="X19">
        <v>2.7187087908357001E-3</v>
      </c>
      <c r="Y19">
        <v>2.6989598828946887E-3</v>
      </c>
      <c r="Z19">
        <v>2.7048991247220679E-3</v>
      </c>
      <c r="AA19">
        <v>2.7345489303215393E-3</v>
      </c>
      <c r="AB19">
        <v>2.7466961563765782E-3</v>
      </c>
      <c r="AC19">
        <v>2.764886261018438E-3</v>
      </c>
      <c r="AD19">
        <v>2.7965008556143449E-3</v>
      </c>
      <c r="AE19">
        <v>-2.0558988138183096E-5</v>
      </c>
      <c r="AF19">
        <v>-1.9156243986115292E-5</v>
      </c>
      <c r="AG19">
        <v>1.3764574756621595E-4</v>
      </c>
      <c r="AH19">
        <v>1.7317893508781697E-3</v>
      </c>
      <c r="AI19">
        <v>1.3329598505165058E-3</v>
      </c>
      <c r="AJ19">
        <v>-2.9392263014991831E-4</v>
      </c>
      <c r="AK19">
        <v>1.7674576863058421E-3</v>
      </c>
    </row>
    <row r="20" spans="1:37" x14ac:dyDescent="0.2">
      <c r="A20" t="s">
        <v>58</v>
      </c>
      <c r="B20">
        <v>0.12446776990065199</v>
      </c>
      <c r="C20">
        <v>-1.3668876581130927E-4</v>
      </c>
      <c r="D20">
        <v>-1.291117561138741E-4</v>
      </c>
      <c r="E20">
        <v>1.0868317943096416E-6</v>
      </c>
      <c r="F20">
        <v>6.4646445108703981E-5</v>
      </c>
      <c r="G20">
        <v>6.3468463751741879E-5</v>
      </c>
      <c r="H20">
        <v>2.5762402971842474E-6</v>
      </c>
      <c r="I20">
        <v>4.9063744253295916E-7</v>
      </c>
      <c r="J20">
        <v>2.9191038005571481E-5</v>
      </c>
      <c r="K20">
        <v>-4.4218989801295128E-5</v>
      </c>
      <c r="L20">
        <v>-1.2995938998789768E-4</v>
      </c>
      <c r="M20">
        <v>-1.1524769736941318E-4</v>
      </c>
      <c r="N20">
        <v>2.4611789094783465E-5</v>
      </c>
      <c r="O20">
        <v>-9.0858665272139112E-5</v>
      </c>
      <c r="P20">
        <v>-3.3371187303851712E-4</v>
      </c>
      <c r="Q20">
        <v>-8.3042309582581869E-5</v>
      </c>
      <c r="R20">
        <v>-7.9041762989075313E-5</v>
      </c>
      <c r="S20">
        <v>7.8724558805901143E-5</v>
      </c>
      <c r="T20">
        <v>2.7230228607272328E-3</v>
      </c>
      <c r="U20">
        <v>3.7995508838329023E-3</v>
      </c>
      <c r="V20">
        <v>2.6519618105013071E-3</v>
      </c>
      <c r="W20">
        <v>2.8860588946770936E-3</v>
      </c>
      <c r="X20">
        <v>2.6567615928779391E-3</v>
      </c>
      <c r="Y20">
        <v>2.6459158800984902E-3</v>
      </c>
      <c r="Z20">
        <v>2.6596177963667399E-3</v>
      </c>
      <c r="AA20">
        <v>2.6878339639623506E-3</v>
      </c>
      <c r="AB20">
        <v>2.6842296685975178E-3</v>
      </c>
      <c r="AC20">
        <v>2.695415320905177E-3</v>
      </c>
      <c r="AD20">
        <v>2.7200988268543426E-3</v>
      </c>
      <c r="AE20">
        <v>-1.7079525334506233E-5</v>
      </c>
      <c r="AF20">
        <v>6.1763610493490448E-6</v>
      </c>
      <c r="AG20">
        <v>-2.6017765458714458E-5</v>
      </c>
      <c r="AH20">
        <v>1.5637610694996871E-3</v>
      </c>
      <c r="AI20">
        <v>1.2143158811339233E-3</v>
      </c>
      <c r="AJ20">
        <v>-4.7648176891049881E-4</v>
      </c>
      <c r="AK20">
        <v>1.4682143275827463E-3</v>
      </c>
    </row>
    <row r="21" spans="1:37" x14ac:dyDescent="0.2">
      <c r="A21" t="s">
        <v>59</v>
      </c>
      <c r="B21">
        <v>0.15885390355878179</v>
      </c>
      <c r="C21">
        <v>-1.2714384213288857E-4</v>
      </c>
      <c r="D21">
        <v>-1.306889230048465E-4</v>
      </c>
      <c r="E21">
        <v>1.0945138267461931E-6</v>
      </c>
      <c r="F21">
        <v>6.6278471361010111E-5</v>
      </c>
      <c r="G21">
        <v>2.8008209233302498E-5</v>
      </c>
      <c r="H21">
        <v>1.662131574289372E-6</v>
      </c>
      <c r="I21">
        <v>-1.1274124815540445E-6</v>
      </c>
      <c r="J21">
        <v>3.4304499259556957E-5</v>
      </c>
      <c r="K21">
        <v>-2.4626665151459767E-5</v>
      </c>
      <c r="L21">
        <v>-1.462503005767125E-4</v>
      </c>
      <c r="M21">
        <v>-1.1007560033891303E-4</v>
      </c>
      <c r="N21">
        <v>6.56193707768561E-5</v>
      </c>
      <c r="O21">
        <v>6.2202904671246687E-6</v>
      </c>
      <c r="P21">
        <v>-2.3344381561079836E-4</v>
      </c>
      <c r="Q21">
        <v>3.0410350110593324E-6</v>
      </c>
      <c r="R21">
        <v>2.4091122710313871E-5</v>
      </c>
      <c r="S21">
        <v>5.4240235730450455E-5</v>
      </c>
      <c r="T21">
        <v>2.7102442082326955E-3</v>
      </c>
      <c r="U21">
        <v>2.6519618105013071E-3</v>
      </c>
      <c r="V21">
        <v>4.096150658037475E-3</v>
      </c>
      <c r="W21">
        <v>2.8385543468538782E-3</v>
      </c>
      <c r="X21">
        <v>2.6571336606715252E-3</v>
      </c>
      <c r="Y21">
        <v>2.6363398773629749E-3</v>
      </c>
      <c r="Z21">
        <v>2.6446131724429138E-3</v>
      </c>
      <c r="AA21">
        <v>2.6710170338983437E-3</v>
      </c>
      <c r="AB21">
        <v>2.6676071152197051E-3</v>
      </c>
      <c r="AC21">
        <v>2.6836880510047855E-3</v>
      </c>
      <c r="AD21">
        <v>2.7202911049565475E-3</v>
      </c>
      <c r="AE21">
        <v>-1.2617337534042442E-5</v>
      </c>
      <c r="AF21">
        <v>6.7605234115936206E-5</v>
      </c>
      <c r="AG21">
        <v>-3.3642448818293932E-5</v>
      </c>
      <c r="AH21">
        <v>1.3617784303900039E-3</v>
      </c>
      <c r="AI21">
        <v>1.2686456158564456E-3</v>
      </c>
      <c r="AJ21">
        <v>-4.6013430799187588E-4</v>
      </c>
      <c r="AK21">
        <v>1.4925912023458282E-3</v>
      </c>
    </row>
    <row r="22" spans="1:37" x14ac:dyDescent="0.2">
      <c r="A22" t="s">
        <v>60</v>
      </c>
      <c r="B22">
        <v>0.10190559241708592</v>
      </c>
      <c r="C22">
        <v>-1.4837370159063166E-4</v>
      </c>
      <c r="D22">
        <v>-4.0177895607710701E-4</v>
      </c>
      <c r="E22">
        <v>3.095493393841669E-6</v>
      </c>
      <c r="F22">
        <v>1.1837449896787951E-4</v>
      </c>
      <c r="G22">
        <v>2.644548334112099E-4</v>
      </c>
      <c r="H22">
        <v>6.2493865845474428E-6</v>
      </c>
      <c r="I22">
        <v>7.5110763818677096E-6</v>
      </c>
      <c r="J22">
        <v>1.1912587759740665E-4</v>
      </c>
      <c r="K22">
        <v>6.4951568657656495E-5</v>
      </c>
      <c r="L22">
        <v>-2.8454128641159596E-4</v>
      </c>
      <c r="M22">
        <v>-1.8552773687459596E-4</v>
      </c>
      <c r="N22">
        <v>1.1699792792313703E-4</v>
      </c>
      <c r="O22">
        <v>-2.0991371241509382E-4</v>
      </c>
      <c r="P22">
        <v>-3.7183109864928529E-4</v>
      </c>
      <c r="Q22">
        <v>6.0487965491642302E-5</v>
      </c>
      <c r="R22">
        <v>-1.6248782668816004E-4</v>
      </c>
      <c r="S22">
        <v>2.1668946437794912E-4</v>
      </c>
      <c r="T22">
        <v>2.9642706256490302E-3</v>
      </c>
      <c r="U22">
        <v>2.8860588946770936E-3</v>
      </c>
      <c r="V22">
        <v>2.8385543468538782E-3</v>
      </c>
      <c r="W22">
        <v>4.996182541494189E-3</v>
      </c>
      <c r="X22">
        <v>2.8424956779688378E-3</v>
      </c>
      <c r="Y22">
        <v>2.8752440246946707E-3</v>
      </c>
      <c r="Z22">
        <v>2.900763245210462E-3</v>
      </c>
      <c r="AA22">
        <v>2.9561806413238444E-3</v>
      </c>
      <c r="AB22">
        <v>2.9306384085303894E-3</v>
      </c>
      <c r="AC22">
        <v>2.9585602227148919E-3</v>
      </c>
      <c r="AD22">
        <v>2.9859186866157119E-3</v>
      </c>
      <c r="AE22">
        <v>1.2983038493785248E-5</v>
      </c>
      <c r="AF22">
        <v>-8.1814080730169985E-5</v>
      </c>
      <c r="AG22">
        <v>-1.8108981637458724E-4</v>
      </c>
      <c r="AH22">
        <v>3.7453478749543637E-3</v>
      </c>
      <c r="AI22">
        <v>1.3508951173309091E-3</v>
      </c>
      <c r="AJ22">
        <v>-4.1290270972080549E-4</v>
      </c>
      <c r="AK22">
        <v>9.2081598166287686E-3</v>
      </c>
    </row>
    <row r="23" spans="1:37" x14ac:dyDescent="0.2">
      <c r="A23" t="s">
        <v>61</v>
      </c>
      <c r="B23">
        <v>0.10899814890846919</v>
      </c>
      <c r="C23">
        <v>-1.3961418688051587E-4</v>
      </c>
      <c r="D23">
        <v>-1.8408553893823655E-4</v>
      </c>
      <c r="E23">
        <v>1.5634587436423283E-6</v>
      </c>
      <c r="F23">
        <v>-3.434930649510472E-5</v>
      </c>
      <c r="G23">
        <v>-3.6329161593054947E-5</v>
      </c>
      <c r="H23">
        <v>1.6992154877168886E-6</v>
      </c>
      <c r="I23">
        <v>-9.0576174487123353E-7</v>
      </c>
      <c r="J23">
        <v>2.8717874602259799E-5</v>
      </c>
      <c r="K23">
        <v>-1.4630701379257476E-5</v>
      </c>
      <c r="L23">
        <v>-1.4913357607869654E-4</v>
      </c>
      <c r="M23">
        <v>-1.0414758561625025E-4</v>
      </c>
      <c r="N23">
        <v>7.1584492733042774E-6</v>
      </c>
      <c r="O23">
        <v>-9.6796145964586459E-5</v>
      </c>
      <c r="P23">
        <v>-2.9485352161920126E-4</v>
      </c>
      <c r="Q23">
        <v>-2.9222699178777563E-5</v>
      </c>
      <c r="R23">
        <v>-1.4483381370155755E-5</v>
      </c>
      <c r="S23">
        <v>9.7402159646647586E-5</v>
      </c>
      <c r="T23">
        <v>2.7187087908357001E-3</v>
      </c>
      <c r="U23">
        <v>2.6567615928779391E-3</v>
      </c>
      <c r="V23">
        <v>2.6571336606715252E-3</v>
      </c>
      <c r="W23">
        <v>2.8424956779688378E-3</v>
      </c>
      <c r="X23">
        <v>4.236927429973749E-3</v>
      </c>
      <c r="Y23">
        <v>2.6383029892531229E-3</v>
      </c>
      <c r="Z23">
        <v>2.642190315875933E-3</v>
      </c>
      <c r="AA23">
        <v>2.6701947193485485E-3</v>
      </c>
      <c r="AB23">
        <v>2.6768624960504341E-3</v>
      </c>
      <c r="AC23">
        <v>2.6823517245828316E-3</v>
      </c>
      <c r="AD23">
        <v>2.7122020813318865E-3</v>
      </c>
      <c r="AE23">
        <v>-2.409043664186849E-5</v>
      </c>
      <c r="AF23">
        <v>1.2783688745070406E-4</v>
      </c>
      <c r="AG23">
        <v>1.0932404209905799E-4</v>
      </c>
      <c r="AH23">
        <v>1.3124002318420185E-3</v>
      </c>
      <c r="AI23">
        <v>1.0465055361848689E-3</v>
      </c>
      <c r="AJ23">
        <v>-5.3204761849374007E-4</v>
      </c>
      <c r="AK23">
        <v>3.286206780480421E-3</v>
      </c>
    </row>
    <row r="24" spans="1:37" x14ac:dyDescent="0.2">
      <c r="A24" t="s">
        <v>62</v>
      </c>
      <c r="B24">
        <v>5.3409472160712512E-2</v>
      </c>
      <c r="C24">
        <v>-7.9415749256957582E-5</v>
      </c>
      <c r="D24">
        <v>-2.1915515326749457E-4</v>
      </c>
      <c r="E24">
        <v>1.7206505233916685E-6</v>
      </c>
      <c r="F24">
        <v>4.1107701362213015E-5</v>
      </c>
      <c r="G24">
        <v>3.0110287943117071E-5</v>
      </c>
      <c r="H24">
        <v>3.2024434561975723E-7</v>
      </c>
      <c r="I24">
        <v>-3.0332340447567971E-6</v>
      </c>
      <c r="J24">
        <v>8.5722453962671697E-5</v>
      </c>
      <c r="K24">
        <v>2.5160550474571074E-5</v>
      </c>
      <c r="L24">
        <v>-2.1923576889149076E-4</v>
      </c>
      <c r="M24">
        <v>-1.1102932411271782E-4</v>
      </c>
      <c r="N24">
        <v>4.1785545164942141E-5</v>
      </c>
      <c r="O24">
        <v>-9.5540126501185039E-5</v>
      </c>
      <c r="P24">
        <v>-2.8681225117792113E-4</v>
      </c>
      <c r="Q24">
        <v>-7.5020845969182913E-5</v>
      </c>
      <c r="R24">
        <v>-1.2548256158379434E-4</v>
      </c>
      <c r="S24">
        <v>6.2735443435173958E-5</v>
      </c>
      <c r="T24">
        <v>2.6989598828946887E-3</v>
      </c>
      <c r="U24">
        <v>2.6459158800984902E-3</v>
      </c>
      <c r="V24">
        <v>2.6363398773629749E-3</v>
      </c>
      <c r="W24">
        <v>2.8752440246946707E-3</v>
      </c>
      <c r="X24">
        <v>2.6383029892531229E-3</v>
      </c>
      <c r="Y24">
        <v>3.7976587452205708E-3</v>
      </c>
      <c r="Z24">
        <v>2.6573339096345201E-3</v>
      </c>
      <c r="AA24">
        <v>2.6820281831740015E-3</v>
      </c>
      <c r="AB24">
        <v>2.6729043309084975E-3</v>
      </c>
      <c r="AC24">
        <v>2.6845686526466989E-3</v>
      </c>
      <c r="AD24">
        <v>2.7173308446081751E-3</v>
      </c>
      <c r="AE24">
        <v>-1.1858944326935612E-5</v>
      </c>
      <c r="AF24">
        <v>2.0033731523007997E-5</v>
      </c>
      <c r="AG24">
        <v>-2.9668392256843111E-5</v>
      </c>
      <c r="AH24">
        <v>1.5588593586307064E-3</v>
      </c>
      <c r="AI24">
        <v>1.2997741799395854E-3</v>
      </c>
      <c r="AJ24">
        <v>-4.8572794048142693E-4</v>
      </c>
      <c r="AK24">
        <v>4.7835545741905811E-3</v>
      </c>
    </row>
    <row r="25" spans="1:37" x14ac:dyDescent="0.2">
      <c r="A25" t="s">
        <v>63</v>
      </c>
      <c r="B25">
        <v>3.6483824597414213E-2</v>
      </c>
      <c r="C25">
        <v>-9.1012630209180809E-5</v>
      </c>
      <c r="D25">
        <v>-1.785041646923044E-4</v>
      </c>
      <c r="E25">
        <v>1.4212110719954247E-6</v>
      </c>
      <c r="F25">
        <v>6.5102817090749053E-5</v>
      </c>
      <c r="G25">
        <v>6.2594767561204771E-5</v>
      </c>
      <c r="H25">
        <v>-2.8645114331110762E-7</v>
      </c>
      <c r="I25">
        <v>-1.5102673161189651E-6</v>
      </c>
      <c r="J25">
        <v>4.7653479924381417E-5</v>
      </c>
      <c r="K25">
        <v>1.1722927092457959E-5</v>
      </c>
      <c r="L25">
        <v>-2.2545123333828944E-4</v>
      </c>
      <c r="M25">
        <v>-1.2523563364036014E-4</v>
      </c>
      <c r="N25">
        <v>5.2478640289647835E-5</v>
      </c>
      <c r="O25">
        <v>-9.0112602034906784E-5</v>
      </c>
      <c r="P25">
        <v>-3.0986130662632506E-4</v>
      </c>
      <c r="Q25">
        <v>-9.8629989277726395E-5</v>
      </c>
      <c r="R25">
        <v>-1.7717369935434536E-4</v>
      </c>
      <c r="S25">
        <v>6.5107524141149982E-5</v>
      </c>
      <c r="T25">
        <v>2.7048991247220679E-3</v>
      </c>
      <c r="U25">
        <v>2.6596177963667399E-3</v>
      </c>
      <c r="V25">
        <v>2.6446131724429138E-3</v>
      </c>
      <c r="W25">
        <v>2.900763245210462E-3</v>
      </c>
      <c r="X25">
        <v>2.642190315875933E-3</v>
      </c>
      <c r="Y25">
        <v>2.6573339096345201E-3</v>
      </c>
      <c r="Z25">
        <v>3.5275245809815647E-3</v>
      </c>
      <c r="AA25">
        <v>2.696114992518552E-3</v>
      </c>
      <c r="AB25">
        <v>2.6844619716196814E-3</v>
      </c>
      <c r="AC25">
        <v>2.6988093533886447E-3</v>
      </c>
      <c r="AD25">
        <v>2.7227112168855296E-3</v>
      </c>
      <c r="AE25">
        <v>-1.3132186507368884E-5</v>
      </c>
      <c r="AF25">
        <v>1.9000062742846943E-5</v>
      </c>
      <c r="AG25">
        <v>-3.472041142572474E-5</v>
      </c>
      <c r="AH25">
        <v>1.6544608131307905E-3</v>
      </c>
      <c r="AI25">
        <v>1.1585388197115775E-3</v>
      </c>
      <c r="AJ25">
        <v>-4.7697517679758149E-4</v>
      </c>
      <c r="AK25">
        <v>3.4180959079421524E-3</v>
      </c>
    </row>
    <row r="26" spans="1:37" x14ac:dyDescent="0.2">
      <c r="A26" t="s">
        <v>64</v>
      </c>
      <c r="B26">
        <v>4.3423694246496933E-2</v>
      </c>
      <c r="C26">
        <v>-1.0615727274146392E-4</v>
      </c>
      <c r="D26">
        <v>-1.9975324902403099E-4</v>
      </c>
      <c r="E26">
        <v>1.610658166797599E-6</v>
      </c>
      <c r="F26">
        <v>7.710362010544583E-5</v>
      </c>
      <c r="G26">
        <v>1.2476559147395921E-4</v>
      </c>
      <c r="H26">
        <v>6.823923964620755E-7</v>
      </c>
      <c r="I26">
        <v>-2.3193086197315934E-6</v>
      </c>
      <c r="J26">
        <v>4.9357137699675862E-5</v>
      </c>
      <c r="K26">
        <v>1.8441950725514057E-5</v>
      </c>
      <c r="L26">
        <v>-1.6942530092768681E-4</v>
      </c>
      <c r="M26">
        <v>-9.37598701090361E-5</v>
      </c>
      <c r="N26">
        <v>3.5417719209104371E-6</v>
      </c>
      <c r="O26">
        <v>-6.6994065653447864E-5</v>
      </c>
      <c r="P26">
        <v>-2.5141624604918078E-4</v>
      </c>
      <c r="Q26">
        <v>3.4494869864599769E-5</v>
      </c>
      <c r="R26">
        <v>-1.3781927096359354E-5</v>
      </c>
      <c r="S26">
        <v>3.7339325413681844E-5</v>
      </c>
      <c r="T26">
        <v>2.7345489303215393E-3</v>
      </c>
      <c r="U26">
        <v>2.6878339639623506E-3</v>
      </c>
      <c r="V26">
        <v>2.6710170338983437E-3</v>
      </c>
      <c r="W26">
        <v>2.9561806413238444E-3</v>
      </c>
      <c r="X26">
        <v>2.6701947193485485E-3</v>
      </c>
      <c r="Y26">
        <v>2.6820281831740015E-3</v>
      </c>
      <c r="Z26">
        <v>2.696114992518552E-3</v>
      </c>
      <c r="AA26">
        <v>3.8154552365690436E-3</v>
      </c>
      <c r="AB26">
        <v>2.7112782633659494E-3</v>
      </c>
      <c r="AC26">
        <v>2.7252014380672908E-3</v>
      </c>
      <c r="AD26">
        <v>2.755861462322642E-3</v>
      </c>
      <c r="AE26">
        <v>-1.4999001955005815E-5</v>
      </c>
      <c r="AF26">
        <v>5.0811399663093376E-5</v>
      </c>
      <c r="AG26">
        <v>-1.8269531917987979E-5</v>
      </c>
      <c r="AH26">
        <v>1.8054228395035258E-3</v>
      </c>
      <c r="AI26">
        <v>1.318161438224121E-3</v>
      </c>
      <c r="AJ26">
        <v>-4.5673625071765086E-4</v>
      </c>
      <c r="AK26">
        <v>3.8667377625406073E-3</v>
      </c>
    </row>
    <row r="27" spans="1:37" x14ac:dyDescent="0.2">
      <c r="A27" t="s">
        <v>65</v>
      </c>
      <c r="B27">
        <v>0.11368541264941462</v>
      </c>
      <c r="C27">
        <v>-1.0874415870887853E-4</v>
      </c>
      <c r="D27">
        <v>-1.773566380477605E-4</v>
      </c>
      <c r="E27">
        <v>1.4622799959260289E-6</v>
      </c>
      <c r="F27">
        <v>7.6732995502323814E-5</v>
      </c>
      <c r="G27">
        <v>5.6895061845665799E-5</v>
      </c>
      <c r="H27">
        <v>9.8633617696859417E-7</v>
      </c>
      <c r="I27">
        <v>1.3339695296550345E-6</v>
      </c>
      <c r="J27">
        <v>3.7810867104708231E-5</v>
      </c>
      <c r="K27">
        <v>3.0336478600940728E-5</v>
      </c>
      <c r="L27">
        <v>-1.7605170800394712E-4</v>
      </c>
      <c r="M27">
        <v>-1.268961907602738E-4</v>
      </c>
      <c r="N27">
        <v>1.5676241696271982E-5</v>
      </c>
      <c r="O27">
        <v>-1.1458018415592486E-4</v>
      </c>
      <c r="P27">
        <v>-2.9485208585206413E-4</v>
      </c>
      <c r="Q27">
        <v>-5.8376146035927449E-5</v>
      </c>
      <c r="R27">
        <v>-9.081397617200556E-5</v>
      </c>
      <c r="S27">
        <v>2.9730759396063774E-5</v>
      </c>
      <c r="T27">
        <v>2.7466961563765782E-3</v>
      </c>
      <c r="U27">
        <v>2.6842296685975178E-3</v>
      </c>
      <c r="V27">
        <v>2.6676071152197051E-3</v>
      </c>
      <c r="W27">
        <v>2.9306384085303894E-3</v>
      </c>
      <c r="X27">
        <v>2.6768624960504341E-3</v>
      </c>
      <c r="Y27">
        <v>2.6729043309084975E-3</v>
      </c>
      <c r="Z27">
        <v>2.6844619716196814E-3</v>
      </c>
      <c r="AA27">
        <v>2.7112782633659494E-3</v>
      </c>
      <c r="AB27">
        <v>4.2852572713095926E-3</v>
      </c>
      <c r="AC27">
        <v>2.7265460214611469E-3</v>
      </c>
      <c r="AD27">
        <v>2.754523479492997E-3</v>
      </c>
      <c r="AE27">
        <v>-1.3612021896424267E-5</v>
      </c>
      <c r="AF27">
        <v>1.1882195007078579E-5</v>
      </c>
      <c r="AG27">
        <v>-6.0013406592870181E-5</v>
      </c>
      <c r="AH27">
        <v>1.7294492904997392E-3</v>
      </c>
      <c r="AI27">
        <v>1.2974149043257761E-3</v>
      </c>
      <c r="AJ27">
        <v>-3.5238215635356561E-4</v>
      </c>
      <c r="AK27">
        <v>2.9465628029378167E-3</v>
      </c>
    </row>
    <row r="28" spans="1:37" x14ac:dyDescent="0.2">
      <c r="A28" t="s">
        <v>66</v>
      </c>
      <c r="B28">
        <v>8.3279836171086211E-2</v>
      </c>
      <c r="C28">
        <v>-1.3981323985803385E-4</v>
      </c>
      <c r="D28">
        <v>-1.9137172787013143E-4</v>
      </c>
      <c r="E28">
        <v>1.5439466581968549E-6</v>
      </c>
      <c r="F28">
        <v>4.7783851454613954E-5</v>
      </c>
      <c r="G28">
        <v>8.2262188764273573E-5</v>
      </c>
      <c r="H28">
        <v>3.3446114642864718E-7</v>
      </c>
      <c r="I28">
        <v>-7.5960542784378774E-7</v>
      </c>
      <c r="J28">
        <v>7.2013749747822315E-5</v>
      </c>
      <c r="K28">
        <v>3.4194373792645685E-5</v>
      </c>
      <c r="L28">
        <v>-2.4402787920659377E-4</v>
      </c>
      <c r="M28">
        <v>-1.3581781385474747E-4</v>
      </c>
      <c r="N28">
        <v>5.6823563093504544E-5</v>
      </c>
      <c r="O28">
        <v>3.8640425591088788E-5</v>
      </c>
      <c r="P28">
        <v>-2.5312978662146322E-4</v>
      </c>
      <c r="Q28">
        <v>-7.1926177289073547E-6</v>
      </c>
      <c r="R28">
        <v>-2.9188270194343549E-5</v>
      </c>
      <c r="S28">
        <v>-1.6620461373493189E-5</v>
      </c>
      <c r="T28">
        <v>2.764886261018438E-3</v>
      </c>
      <c r="U28">
        <v>2.695415320905177E-3</v>
      </c>
      <c r="V28">
        <v>2.6836880510047855E-3</v>
      </c>
      <c r="W28">
        <v>2.9585602227148919E-3</v>
      </c>
      <c r="X28">
        <v>2.6823517245828316E-3</v>
      </c>
      <c r="Y28">
        <v>2.6845686526466989E-3</v>
      </c>
      <c r="Z28">
        <v>2.6988093533886447E-3</v>
      </c>
      <c r="AA28">
        <v>2.7252014380672908E-3</v>
      </c>
      <c r="AB28">
        <v>2.7265460214611469E-3</v>
      </c>
      <c r="AC28">
        <v>3.9490694182335645E-3</v>
      </c>
      <c r="AD28">
        <v>2.7797569940685744E-3</v>
      </c>
      <c r="AE28">
        <v>-1.8493266869333504E-5</v>
      </c>
      <c r="AF28">
        <v>1.4282755771429805E-4</v>
      </c>
      <c r="AG28">
        <v>3.5639970896239506E-5</v>
      </c>
      <c r="AH28">
        <v>1.7769958970949953E-3</v>
      </c>
      <c r="AI28">
        <v>1.3241254670825582E-3</v>
      </c>
      <c r="AJ28">
        <v>-3.4765786751101666E-4</v>
      </c>
      <c r="AK28">
        <v>3.6431947308514998E-3</v>
      </c>
    </row>
    <row r="29" spans="1:37" x14ac:dyDescent="0.2">
      <c r="A29" t="s">
        <v>67</v>
      </c>
      <c r="B29">
        <v>0.1017358185187509</v>
      </c>
      <c r="C29">
        <v>-1.4487646141431079E-4</v>
      </c>
      <c r="D29">
        <v>-1.5108562567973938E-4</v>
      </c>
      <c r="E29">
        <v>1.2548630716367943E-6</v>
      </c>
      <c r="F29">
        <v>4.7056397075586026E-5</v>
      </c>
      <c r="G29">
        <v>2.2916174842471985E-5</v>
      </c>
      <c r="H29">
        <v>-2.3231426100599217E-7</v>
      </c>
      <c r="I29">
        <v>-2.5852090172767971E-6</v>
      </c>
      <c r="J29">
        <v>3.2203629060239625E-5</v>
      </c>
      <c r="K29">
        <v>-1.2523633483445783E-4</v>
      </c>
      <c r="L29">
        <v>-1.5217333784300988E-4</v>
      </c>
      <c r="M29">
        <v>-1.6413314948791744E-4</v>
      </c>
      <c r="N29">
        <v>9.8704348399755872E-5</v>
      </c>
      <c r="O29">
        <v>-1.9091847919144346E-5</v>
      </c>
      <c r="P29">
        <v>-2.0098961217582603E-4</v>
      </c>
      <c r="Q29">
        <v>8.1472104006682792E-5</v>
      </c>
      <c r="R29">
        <v>5.3782280086573774E-5</v>
      </c>
      <c r="S29">
        <v>-5.783384080653136E-5</v>
      </c>
      <c r="T29">
        <v>2.7965008556143449E-3</v>
      </c>
      <c r="U29">
        <v>2.7200988268543426E-3</v>
      </c>
      <c r="V29">
        <v>2.7202911049565475E-3</v>
      </c>
      <c r="W29">
        <v>2.9859186866157119E-3</v>
      </c>
      <c r="X29">
        <v>2.7122020813318865E-3</v>
      </c>
      <c r="Y29">
        <v>2.7173308446081751E-3</v>
      </c>
      <c r="Z29">
        <v>2.7227112168855296E-3</v>
      </c>
      <c r="AA29">
        <v>2.755861462322642E-3</v>
      </c>
      <c r="AB29">
        <v>2.754523479492997E-3</v>
      </c>
      <c r="AC29">
        <v>2.7797569940685744E-3</v>
      </c>
      <c r="AD29">
        <v>4.9445955437624799E-3</v>
      </c>
      <c r="AE29">
        <v>-1.8371290627994846E-5</v>
      </c>
      <c r="AF29">
        <v>-2.7115089940515593E-5</v>
      </c>
      <c r="AG29">
        <v>2.609683405283781E-6</v>
      </c>
      <c r="AH29">
        <v>1.8859250006425122E-3</v>
      </c>
      <c r="AI29">
        <v>1.3376678045232183E-3</v>
      </c>
      <c r="AJ29">
        <v>-3.7165688438845959E-4</v>
      </c>
      <c r="AK29">
        <v>2.3303695644385676E-3</v>
      </c>
    </row>
    <row r="30" spans="1:37" x14ac:dyDescent="0.2">
      <c r="A30" t="s">
        <v>26</v>
      </c>
      <c r="B30">
        <v>-1.2503263054290384E-3</v>
      </c>
      <c r="C30">
        <v>1.0162128339064042E-5</v>
      </c>
      <c r="D30">
        <v>7.849012899872887E-8</v>
      </c>
      <c r="E30">
        <v>-3.2511178071194604E-8</v>
      </c>
      <c r="F30">
        <v>-1.3665483928457621E-6</v>
      </c>
      <c r="G30">
        <v>1.5195564765161848E-5</v>
      </c>
      <c r="H30">
        <v>4.9097869274834962E-7</v>
      </c>
      <c r="I30">
        <v>8.3697425558576573E-7</v>
      </c>
      <c r="J30">
        <v>3.2893393994134096E-5</v>
      </c>
      <c r="K30">
        <v>6.7686322231716965E-6</v>
      </c>
      <c r="L30">
        <v>6.2210124051197309E-6</v>
      </c>
      <c r="M30">
        <v>-6.8730494535469535E-6</v>
      </c>
      <c r="N30">
        <v>1.3348089037253026E-5</v>
      </c>
      <c r="O30">
        <v>-3.7604504411962829E-6</v>
      </c>
      <c r="P30">
        <v>-1.4608143271119299E-6</v>
      </c>
      <c r="Q30">
        <v>1.3458493274317435E-6</v>
      </c>
      <c r="R30">
        <v>-6.3393396945406796E-6</v>
      </c>
      <c r="S30">
        <v>-3.4904252159799216E-6</v>
      </c>
      <c r="T30">
        <v>-2.0558988138183096E-5</v>
      </c>
      <c r="U30">
        <v>-1.7079525334506233E-5</v>
      </c>
      <c r="V30">
        <v>-1.2617337534042442E-5</v>
      </c>
      <c r="W30">
        <v>1.2983038493785248E-5</v>
      </c>
      <c r="X30">
        <v>-2.409043664186849E-5</v>
      </c>
      <c r="Y30">
        <v>-1.1858944326935612E-5</v>
      </c>
      <c r="Z30">
        <v>-1.3132186507368884E-5</v>
      </c>
      <c r="AA30">
        <v>-1.4999001955005815E-5</v>
      </c>
      <c r="AB30">
        <v>-1.3612021896424267E-5</v>
      </c>
      <c r="AC30">
        <v>-1.8493266869333504E-5</v>
      </c>
      <c r="AD30">
        <v>-1.8371290627994846E-5</v>
      </c>
      <c r="AE30">
        <v>1.3004199413489695E-5</v>
      </c>
      <c r="AF30">
        <v>-4.7864226631988554E-5</v>
      </c>
      <c r="AG30">
        <v>-6.043619771172163E-5</v>
      </c>
      <c r="AH30">
        <v>7.3052885746758319E-5</v>
      </c>
      <c r="AI30">
        <v>-3.8700543224138244E-5</v>
      </c>
      <c r="AJ30">
        <v>4.2802101195481805E-5</v>
      </c>
      <c r="AK30">
        <v>-1.6270687904887035E-4</v>
      </c>
    </row>
    <row r="31" spans="1:37" x14ac:dyDescent="0.2">
      <c r="A31" t="s">
        <v>27</v>
      </c>
      <c r="B31">
        <v>-4.8458251214822126E-2</v>
      </c>
      <c r="C31">
        <v>-2.3453540408357665E-5</v>
      </c>
      <c r="D31">
        <v>2.2837210078036074E-5</v>
      </c>
      <c r="E31">
        <v>-1.3026563647349111E-7</v>
      </c>
      <c r="F31">
        <v>4.5176933080198727E-5</v>
      </c>
      <c r="G31">
        <v>1.5078396633688926E-5</v>
      </c>
      <c r="H31">
        <v>-4.9007674781125873E-7</v>
      </c>
      <c r="I31">
        <v>1.3910729597220066E-7</v>
      </c>
      <c r="J31">
        <v>-6.764597286176659E-6</v>
      </c>
      <c r="K31">
        <v>1.1182533078801142E-5</v>
      </c>
      <c r="L31">
        <v>-4.1269067807731571E-5</v>
      </c>
      <c r="M31">
        <v>1.8514119337455546E-5</v>
      </c>
      <c r="N31">
        <v>-4.3856560160811536E-5</v>
      </c>
      <c r="O31">
        <v>-6.4192070363798797E-5</v>
      </c>
      <c r="P31">
        <v>-1.7809960616795131E-4</v>
      </c>
      <c r="Q31">
        <v>-1.7842705781965807E-4</v>
      </c>
      <c r="R31">
        <v>-1.3073894500752588E-4</v>
      </c>
      <c r="S31">
        <v>2.0587389307623327E-5</v>
      </c>
      <c r="T31">
        <v>-1.9156243986115292E-5</v>
      </c>
      <c r="U31">
        <v>6.1763610493490448E-6</v>
      </c>
      <c r="V31">
        <v>6.7605234115936206E-5</v>
      </c>
      <c r="W31">
        <v>-8.1814080730169985E-5</v>
      </c>
      <c r="X31">
        <v>1.2783688745070406E-4</v>
      </c>
      <c r="Y31">
        <v>2.0033731523007997E-5</v>
      </c>
      <c r="Z31">
        <v>1.9000062742846943E-5</v>
      </c>
      <c r="AA31">
        <v>5.0811399663093376E-5</v>
      </c>
      <c r="AB31">
        <v>1.1882195007078579E-5</v>
      </c>
      <c r="AC31">
        <v>1.4282755771429805E-4</v>
      </c>
      <c r="AD31">
        <v>-2.7115089940515593E-5</v>
      </c>
      <c r="AE31">
        <v>-4.7864226631988554E-5</v>
      </c>
      <c r="AF31">
        <v>2.0935115231285645E-3</v>
      </c>
      <c r="AG31">
        <v>3.6035562474070635E-4</v>
      </c>
      <c r="AH31">
        <v>-3.2892501016608161E-4</v>
      </c>
      <c r="AI31">
        <v>6.4482656747836029E-5</v>
      </c>
      <c r="AJ31">
        <v>-2.2079312222570048E-4</v>
      </c>
      <c r="AK31">
        <v>-1.3084040524994917E-4</v>
      </c>
    </row>
    <row r="32" spans="1:37" x14ac:dyDescent="0.2">
      <c r="A32" t="s">
        <v>28</v>
      </c>
      <c r="B32">
        <v>4.5910599123733471E-2</v>
      </c>
      <c r="C32">
        <v>-2.7265291777768441E-5</v>
      </c>
      <c r="D32">
        <v>8.0655170989410788E-5</v>
      </c>
      <c r="E32">
        <v>-5.8967962373266479E-7</v>
      </c>
      <c r="F32">
        <v>1.5171779295750285E-5</v>
      </c>
      <c r="G32">
        <v>-5.2653986414530067E-5</v>
      </c>
      <c r="H32">
        <v>-1.0194135376936685E-6</v>
      </c>
      <c r="I32">
        <v>-1.6267991724267752E-7</v>
      </c>
      <c r="J32">
        <v>-3.1980213817982954E-5</v>
      </c>
      <c r="K32">
        <v>9.2664659283076814E-5</v>
      </c>
      <c r="L32">
        <v>-4.5426384169085698E-5</v>
      </c>
      <c r="M32">
        <v>-3.2029852000135192E-5</v>
      </c>
      <c r="N32">
        <v>-8.6046620647967315E-8</v>
      </c>
      <c r="O32">
        <v>4.0625830921712375E-5</v>
      </c>
      <c r="P32">
        <v>-7.5715752952652473E-5</v>
      </c>
      <c r="Q32">
        <v>-3.9876368257274741E-5</v>
      </c>
      <c r="R32">
        <v>-3.0022754991403968E-5</v>
      </c>
      <c r="S32">
        <v>5.8612399539331267E-5</v>
      </c>
      <c r="T32">
        <v>1.3764574756621595E-4</v>
      </c>
      <c r="U32">
        <v>-2.6017765458714458E-5</v>
      </c>
      <c r="V32">
        <v>-3.3642448818293932E-5</v>
      </c>
      <c r="W32">
        <v>-1.8108981637458724E-4</v>
      </c>
      <c r="X32">
        <v>1.0932404209905799E-4</v>
      </c>
      <c r="Y32">
        <v>-2.9668392256843111E-5</v>
      </c>
      <c r="Z32">
        <v>-3.472041142572474E-5</v>
      </c>
      <c r="AA32">
        <v>-1.8269531917987979E-5</v>
      </c>
      <c r="AB32">
        <v>-6.0013406592870181E-5</v>
      </c>
      <c r="AC32">
        <v>3.5639970896239506E-5</v>
      </c>
      <c r="AD32">
        <v>2.609683405283781E-6</v>
      </c>
      <c r="AE32">
        <v>-6.043619771172163E-5</v>
      </c>
      <c r="AF32">
        <v>3.6035562474070635E-4</v>
      </c>
      <c r="AG32">
        <v>2.3015827290322555E-3</v>
      </c>
      <c r="AH32">
        <v>-3.3582636053108644E-4</v>
      </c>
      <c r="AI32">
        <v>8.4352639748605431E-5</v>
      </c>
      <c r="AJ32">
        <v>-3.9593619588055521E-4</v>
      </c>
      <c r="AK32">
        <v>-1.7173817090607433E-3</v>
      </c>
    </row>
    <row r="33" spans="1:37" x14ac:dyDescent="0.2">
      <c r="A33" t="s">
        <v>70</v>
      </c>
      <c r="B33">
        <v>-0.10590208254224381</v>
      </c>
      <c r="C33">
        <v>-1.6849243727772446E-4</v>
      </c>
      <c r="D33">
        <v>-8.3373485761766009E-4</v>
      </c>
      <c r="E33">
        <v>6.2912148203760174E-6</v>
      </c>
      <c r="F33">
        <v>4.2789019717801567E-4</v>
      </c>
      <c r="G33">
        <v>9.2952403708289745E-4</v>
      </c>
      <c r="H33">
        <v>1.8140153537414362E-5</v>
      </c>
      <c r="I33">
        <v>2.2607428132652617E-5</v>
      </c>
      <c r="J33">
        <v>1.4749057539802601E-4</v>
      </c>
      <c r="K33">
        <v>3.3231486570326797E-4</v>
      </c>
      <c r="L33">
        <v>-7.8044436728094864E-4</v>
      </c>
      <c r="M33">
        <v>-4.3101120499278005E-4</v>
      </c>
      <c r="N33">
        <v>1.7930030439074183E-4</v>
      </c>
      <c r="O33">
        <v>8.3159104870014766E-5</v>
      </c>
      <c r="P33">
        <v>6.1260860694209527E-5</v>
      </c>
      <c r="Q33">
        <v>9.8969571092102893E-4</v>
      </c>
      <c r="R33">
        <v>2.0554246463390683E-4</v>
      </c>
      <c r="S33">
        <v>7.6673545361830497E-4</v>
      </c>
      <c r="T33">
        <v>1.7317893508781697E-3</v>
      </c>
      <c r="U33">
        <v>1.5637610694996871E-3</v>
      </c>
      <c r="V33">
        <v>1.3617784303900039E-3</v>
      </c>
      <c r="W33">
        <v>3.7453478749543637E-3</v>
      </c>
      <c r="X33">
        <v>1.3124002318420185E-3</v>
      </c>
      <c r="Y33">
        <v>1.5588593586307064E-3</v>
      </c>
      <c r="Z33">
        <v>1.6544608131307905E-3</v>
      </c>
      <c r="AA33">
        <v>1.8054228395035258E-3</v>
      </c>
      <c r="AB33">
        <v>1.7294492904997392E-3</v>
      </c>
      <c r="AC33">
        <v>1.7769958970949953E-3</v>
      </c>
      <c r="AD33">
        <v>1.8859250006425122E-3</v>
      </c>
      <c r="AE33">
        <v>7.3052885746758319E-5</v>
      </c>
      <c r="AF33">
        <v>-3.2892501016608161E-4</v>
      </c>
      <c r="AG33">
        <v>-3.3582636053108644E-4</v>
      </c>
      <c r="AH33">
        <v>1.0761279260888105E-2</v>
      </c>
      <c r="AI33">
        <v>9.3661602947152898E-4</v>
      </c>
      <c r="AJ33">
        <v>1.3163985147329966E-4</v>
      </c>
      <c r="AK33">
        <v>2.1662651640992618E-2</v>
      </c>
    </row>
    <row r="34" spans="1:37" x14ac:dyDescent="0.2">
      <c r="A34" t="s">
        <v>71</v>
      </c>
      <c r="B34">
        <v>-0.49677882522040684</v>
      </c>
      <c r="C34">
        <v>-1.1026528545339022E-4</v>
      </c>
      <c r="D34">
        <v>-2.7024915228294685E-4</v>
      </c>
      <c r="E34">
        <v>2.215679399890369E-6</v>
      </c>
      <c r="F34">
        <v>2.3798470834969845E-4</v>
      </c>
      <c r="G34">
        <v>2.5544460762382318E-4</v>
      </c>
      <c r="H34">
        <v>-1.4376216278674196E-6</v>
      </c>
      <c r="I34">
        <v>-2.2315121399937973E-6</v>
      </c>
      <c r="J34">
        <v>-1.1640705399498189E-5</v>
      </c>
      <c r="K34">
        <v>-7.7980453216202478E-5</v>
      </c>
      <c r="L34">
        <v>-1.4083739087296116E-4</v>
      </c>
      <c r="M34">
        <v>7.3520470892198594E-7</v>
      </c>
      <c r="N34">
        <v>-2.8752949196363001E-5</v>
      </c>
      <c r="O34">
        <v>-6.7078382566428552E-5</v>
      </c>
      <c r="P34">
        <v>-8.4708434244108299E-5</v>
      </c>
      <c r="Q34">
        <v>6.2118339099414893E-5</v>
      </c>
      <c r="R34">
        <v>1.6045009566062864E-4</v>
      </c>
      <c r="S34">
        <v>6.2689569637985106E-5</v>
      </c>
      <c r="T34">
        <v>1.3329598505165058E-3</v>
      </c>
      <c r="U34">
        <v>1.2143158811339233E-3</v>
      </c>
      <c r="V34">
        <v>1.2686456158564456E-3</v>
      </c>
      <c r="W34">
        <v>1.3508951173309091E-3</v>
      </c>
      <c r="X34">
        <v>1.0465055361848689E-3</v>
      </c>
      <c r="Y34">
        <v>1.2997741799395854E-3</v>
      </c>
      <c r="Z34">
        <v>1.1585388197115775E-3</v>
      </c>
      <c r="AA34">
        <v>1.318161438224121E-3</v>
      </c>
      <c r="AB34">
        <v>1.2974149043257761E-3</v>
      </c>
      <c r="AC34">
        <v>1.3241254670825582E-3</v>
      </c>
      <c r="AD34">
        <v>1.3376678045232183E-3</v>
      </c>
      <c r="AE34">
        <v>-3.8700543224138244E-5</v>
      </c>
      <c r="AF34">
        <v>6.4482656747836029E-5</v>
      </c>
      <c r="AG34">
        <v>8.4352639748605431E-5</v>
      </c>
      <c r="AH34">
        <v>9.3661602947152898E-4</v>
      </c>
      <c r="AI34">
        <v>1.4191463460207374E-2</v>
      </c>
      <c r="AJ34">
        <v>-7.0405906395869643E-5</v>
      </c>
      <c r="AK34">
        <v>7.5507556622730152E-3</v>
      </c>
    </row>
    <row r="35" spans="1:37" x14ac:dyDescent="0.2">
      <c r="A35" t="s">
        <v>72</v>
      </c>
      <c r="B35">
        <v>-8.2511381363541442E-2</v>
      </c>
      <c r="C35">
        <v>-1.0897269162574364E-4</v>
      </c>
      <c r="D35">
        <v>-5.6989290493764805E-5</v>
      </c>
      <c r="E35">
        <v>3.6316603945082092E-7</v>
      </c>
      <c r="F35">
        <v>-1.0550372288826995E-4</v>
      </c>
      <c r="G35">
        <v>-4.6184744435509063E-5</v>
      </c>
      <c r="H35">
        <v>-3.176204304544431E-6</v>
      </c>
      <c r="I35">
        <v>5.7675289488895386E-6</v>
      </c>
      <c r="J35">
        <v>-6.1074970153629461E-5</v>
      </c>
      <c r="K35">
        <v>2.4653306091044439E-4</v>
      </c>
      <c r="L35">
        <v>-5.4224554898171275E-4</v>
      </c>
      <c r="M35">
        <v>-1.6500221787914997E-4</v>
      </c>
      <c r="N35">
        <v>1.6789346649541132E-4</v>
      </c>
      <c r="O35">
        <v>-1.8604293492476909E-4</v>
      </c>
      <c r="P35">
        <v>-2.3942519875711074E-4</v>
      </c>
      <c r="Q35">
        <v>-3.1926678645674751E-4</v>
      </c>
      <c r="R35">
        <v>-2.2480670849005279E-4</v>
      </c>
      <c r="S35">
        <v>2.4263108877090023E-4</v>
      </c>
      <c r="T35">
        <v>-2.9392263014991831E-4</v>
      </c>
      <c r="U35">
        <v>-4.7648176891049881E-4</v>
      </c>
      <c r="V35">
        <v>-4.6013430799187588E-4</v>
      </c>
      <c r="W35">
        <v>-4.1290270972080549E-4</v>
      </c>
      <c r="X35">
        <v>-5.3204761849374007E-4</v>
      </c>
      <c r="Y35">
        <v>-4.8572794048142693E-4</v>
      </c>
      <c r="Z35">
        <v>-4.7697517679758149E-4</v>
      </c>
      <c r="AA35">
        <v>-4.5673625071765086E-4</v>
      </c>
      <c r="AB35">
        <v>-3.5238215635356561E-4</v>
      </c>
      <c r="AC35">
        <v>-3.4765786751101666E-4</v>
      </c>
      <c r="AD35">
        <v>-3.7165688438845959E-4</v>
      </c>
      <c r="AE35">
        <v>4.2802101195481805E-5</v>
      </c>
      <c r="AF35">
        <v>-2.2079312222570048E-4</v>
      </c>
      <c r="AG35">
        <v>-3.9593619588055521E-4</v>
      </c>
      <c r="AH35">
        <v>1.3163985147329966E-4</v>
      </c>
      <c r="AI35">
        <v>-7.0405906395869643E-5</v>
      </c>
      <c r="AJ35">
        <v>1.9986789258916827E-2</v>
      </c>
      <c r="AK35">
        <v>1.9880726241424491E-3</v>
      </c>
    </row>
    <row r="36" spans="1:37" x14ac:dyDescent="0.2">
      <c r="A36" t="s">
        <v>29</v>
      </c>
      <c r="B36">
        <v>-28.895243439223499</v>
      </c>
      <c r="C36">
        <v>-2.9490861008723657E-3</v>
      </c>
      <c r="D36">
        <v>-4.7990293773398959E-2</v>
      </c>
      <c r="E36">
        <v>3.8546273390321027E-4</v>
      </c>
      <c r="F36">
        <v>2.3108054484257227E-3</v>
      </c>
      <c r="G36">
        <v>6.7893510826053678E-3</v>
      </c>
      <c r="H36">
        <v>-1.0677581452939313E-4</v>
      </c>
      <c r="I36">
        <v>-9.5657141485361427E-5</v>
      </c>
      <c r="J36">
        <v>-3.2316150674468261E-3</v>
      </c>
      <c r="K36">
        <v>-1.1995536509908603E-2</v>
      </c>
      <c r="L36">
        <v>-7.1665992600321009E-3</v>
      </c>
      <c r="M36">
        <v>-7.4034499525771672E-4</v>
      </c>
      <c r="N36">
        <v>1.4817325922928076E-4</v>
      </c>
      <c r="O36">
        <v>-5.9383850132808738E-3</v>
      </c>
      <c r="P36">
        <v>-4.1149042663060293E-3</v>
      </c>
      <c r="Q36">
        <v>-1.5958110628015894E-4</v>
      </c>
      <c r="R36">
        <v>-2.2204445183466714E-3</v>
      </c>
      <c r="S36">
        <v>4.8419191961647208E-3</v>
      </c>
      <c r="T36">
        <v>1.7674576863058421E-3</v>
      </c>
      <c r="U36">
        <v>1.4682143275827463E-3</v>
      </c>
      <c r="V36">
        <v>1.4925912023458282E-3</v>
      </c>
      <c r="W36">
        <v>9.2081598166287686E-3</v>
      </c>
      <c r="X36">
        <v>3.286206780480421E-3</v>
      </c>
      <c r="Y36">
        <v>4.7835545741905811E-3</v>
      </c>
      <c r="Z36">
        <v>3.4180959079421524E-3</v>
      </c>
      <c r="AA36">
        <v>3.8667377625406073E-3</v>
      </c>
      <c r="AB36">
        <v>2.9465628029378167E-3</v>
      </c>
      <c r="AC36">
        <v>3.6431947308514998E-3</v>
      </c>
      <c r="AD36">
        <v>2.3303695644385676E-3</v>
      </c>
      <c r="AE36">
        <v>-1.6270687904887035E-4</v>
      </c>
      <c r="AF36">
        <v>-1.3084040524994917E-4</v>
      </c>
      <c r="AG36">
        <v>-1.7173817090607433E-3</v>
      </c>
      <c r="AH36">
        <v>2.1662651640992618E-2</v>
      </c>
      <c r="AI36">
        <v>7.5507556622730152E-3</v>
      </c>
      <c r="AJ36">
        <v>1.9880726241424491E-3</v>
      </c>
      <c r="AK36">
        <v>1.4959338818571912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3"/>
  <sheetViews>
    <sheetView tabSelected="1" topLeftCell="O1" workbookViewId="0">
      <selection activeCell="AB1" sqref="AB1"/>
    </sheetView>
  </sheetViews>
  <sheetFormatPr baseColWidth="10" defaultColWidth="8.83203125" defaultRowHeight="15" x14ac:dyDescent="0.2"/>
  <sheetData>
    <row r="1" spans="1:34" x14ac:dyDescent="0.2">
      <c r="A1" t="s">
        <v>10</v>
      </c>
      <c r="B1" t="s">
        <v>11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77</v>
      </c>
      <c r="AC1" t="s">
        <v>68</v>
      </c>
      <c r="AD1" t="s">
        <v>69</v>
      </c>
      <c r="AE1" t="s">
        <v>70</v>
      </c>
      <c r="AF1" t="s">
        <v>71</v>
      </c>
      <c r="AG1" t="s">
        <v>72</v>
      </c>
      <c r="AH1" t="s">
        <v>29</v>
      </c>
    </row>
    <row r="2" spans="1:34" x14ac:dyDescent="0.2">
      <c r="A2" t="s">
        <v>43</v>
      </c>
      <c r="B2">
        <v>0.10737056546630433</v>
      </c>
      <c r="C2">
        <v>1.6857460054973059E-3</v>
      </c>
      <c r="D2">
        <v>-1.2153515528117795E-4</v>
      </c>
      <c r="E2">
        <v>8.2154031494949387E-7</v>
      </c>
      <c r="F2">
        <v>-4.0469963868103613E-4</v>
      </c>
      <c r="G2">
        <v>-5.54382860836604E-4</v>
      </c>
      <c r="H2">
        <v>8.4260365890866294E-6</v>
      </c>
      <c r="I2">
        <v>-4.4386836146786797E-6</v>
      </c>
      <c r="J2">
        <v>4.7725993084746373E-4</v>
      </c>
      <c r="K2">
        <v>-4.4952064074734355E-4</v>
      </c>
      <c r="L2">
        <v>1.6805615926366674E-4</v>
      </c>
      <c r="M2">
        <v>-8.3083020343160388E-5</v>
      </c>
      <c r="N2">
        <v>-2.4956895152148761E-4</v>
      </c>
      <c r="O2">
        <v>-1.2617963506765587E-3</v>
      </c>
      <c r="P2">
        <v>4.119258562408155E-4</v>
      </c>
      <c r="Q2">
        <v>-1.2400506007801957E-3</v>
      </c>
      <c r="R2">
        <v>-1.752979235595681E-3</v>
      </c>
      <c r="S2">
        <v>-1.1044162876284705E-3</v>
      </c>
      <c r="T2">
        <v>-1.3855037154989363E-3</v>
      </c>
      <c r="U2">
        <v>-9.235843618826305E-4</v>
      </c>
      <c r="V2">
        <v>-1.0197156011623847E-3</v>
      </c>
      <c r="W2">
        <v>-1.1201294848247753E-3</v>
      </c>
      <c r="X2">
        <v>-1.2167530673551398E-3</v>
      </c>
      <c r="Y2">
        <v>-1.1614333715447708E-3</v>
      </c>
      <c r="Z2">
        <v>-1.2249991792923562E-3</v>
      </c>
      <c r="AA2">
        <v>-7.6383403049597003E-4</v>
      </c>
      <c r="AB2">
        <v>-4.8573611273204685E-6</v>
      </c>
      <c r="AC2">
        <v>1.6564790831333394E-4</v>
      </c>
      <c r="AD2">
        <v>2.0477687701145266E-4</v>
      </c>
      <c r="AE2">
        <v>-2.0770196617954243E-4</v>
      </c>
      <c r="AF2">
        <v>-4.2528204499786039E-3</v>
      </c>
      <c r="AG2">
        <v>-4.7613401370413984E-4</v>
      </c>
      <c r="AH2">
        <v>5.2508962944459517E-3</v>
      </c>
    </row>
    <row r="3" spans="1:34" x14ac:dyDescent="0.2">
      <c r="A3" t="s">
        <v>44</v>
      </c>
      <c r="B3">
        <v>0.52454491039570772</v>
      </c>
      <c r="C3">
        <v>-1.2153515528117795E-4</v>
      </c>
      <c r="D3">
        <v>1.8044389694833371E-3</v>
      </c>
      <c r="E3">
        <v>-1.4071896125540558E-5</v>
      </c>
      <c r="F3">
        <v>-1.7717214786619473E-5</v>
      </c>
      <c r="G3">
        <v>-3.5713878286720846E-5</v>
      </c>
      <c r="H3">
        <v>5.671585134038289E-7</v>
      </c>
      <c r="I3">
        <v>1.8990723777065333E-6</v>
      </c>
      <c r="J3">
        <v>-1.9329990415892576E-4</v>
      </c>
      <c r="K3">
        <v>8.9292078514432299E-4</v>
      </c>
      <c r="L3">
        <v>2.7499527210212999E-4</v>
      </c>
      <c r="M3">
        <v>4.0311869606346473E-4</v>
      </c>
      <c r="N3">
        <v>4.2373908339480085E-4</v>
      </c>
      <c r="O3">
        <v>5.4067845796331587E-4</v>
      </c>
      <c r="P3">
        <v>-3.7847685750770632E-4</v>
      </c>
      <c r="Q3">
        <v>1.9799251474569152E-4</v>
      </c>
      <c r="R3">
        <v>2.0179938610083437E-4</v>
      </c>
      <c r="S3">
        <v>5.3164751290087076E-5</v>
      </c>
      <c r="T3">
        <v>7.9164708423541674E-5</v>
      </c>
      <c r="U3">
        <v>1.7724003109485797E-4</v>
      </c>
      <c r="V3">
        <v>1.2868067162564306E-4</v>
      </c>
      <c r="W3">
        <v>2.3916827055788653E-4</v>
      </c>
      <c r="X3">
        <v>1.8580140151630564E-4</v>
      </c>
      <c r="Y3">
        <v>2.2742005357321432E-4</v>
      </c>
      <c r="Z3">
        <v>1.9214793354959542E-4</v>
      </c>
      <c r="AA3">
        <v>1.0339785869942913E-4</v>
      </c>
      <c r="AB3">
        <v>-7.6627498660202659E-6</v>
      </c>
      <c r="AC3">
        <v>-6.2915257272328634E-5</v>
      </c>
      <c r="AD3">
        <v>-8.3291934343046603E-6</v>
      </c>
      <c r="AE3">
        <v>-2.2987420629791422E-4</v>
      </c>
      <c r="AF3">
        <v>8.9560178830605519E-5</v>
      </c>
      <c r="AG3">
        <v>-3.2768084042065945E-5</v>
      </c>
      <c r="AH3">
        <v>-5.7821831566868792E-2</v>
      </c>
    </row>
    <row r="4" spans="1:34" x14ac:dyDescent="0.2">
      <c r="A4" t="s">
        <v>45</v>
      </c>
      <c r="B4">
        <v>-3.6750678807111335E-3</v>
      </c>
      <c r="C4">
        <v>8.2154031494949387E-7</v>
      </c>
      <c r="D4">
        <v>-1.4071896125540558E-5</v>
      </c>
      <c r="E4">
        <v>1.1106873763433133E-7</v>
      </c>
      <c r="F4">
        <v>4.6151066510557396E-8</v>
      </c>
      <c r="G4">
        <v>4.484265427376604E-8</v>
      </c>
      <c r="H4">
        <v>2.6807243763485447E-10</v>
      </c>
      <c r="I4">
        <v>-2.0981996045777586E-8</v>
      </c>
      <c r="J4">
        <v>-5.4191886436613982E-8</v>
      </c>
      <c r="K4">
        <v>-7.6806941235559771E-6</v>
      </c>
      <c r="L4">
        <v>-2.5428085678137749E-6</v>
      </c>
      <c r="M4">
        <v>-3.6054997783705205E-6</v>
      </c>
      <c r="N4">
        <v>-3.6614599165258883E-6</v>
      </c>
      <c r="O4">
        <v>-4.6943075489085334E-6</v>
      </c>
      <c r="P4">
        <v>3.5999995982966774E-6</v>
      </c>
      <c r="Q4">
        <v>-1.4852569616151975E-6</v>
      </c>
      <c r="R4">
        <v>-1.8791101348170514E-6</v>
      </c>
      <c r="S4">
        <v>-5.5109245810546414E-7</v>
      </c>
      <c r="T4">
        <v>-6.4763107066723559E-7</v>
      </c>
      <c r="U4">
        <v>-1.4451342233057392E-6</v>
      </c>
      <c r="V4">
        <v>-1.0873565336841796E-6</v>
      </c>
      <c r="W4">
        <v>-1.8055250574175344E-6</v>
      </c>
      <c r="X4">
        <v>-1.5645936441537598E-6</v>
      </c>
      <c r="Y4">
        <v>-2.2392598663084477E-6</v>
      </c>
      <c r="Z4">
        <v>-1.6148000120130043E-6</v>
      </c>
      <c r="AA4">
        <v>-1.1530581094514351E-6</v>
      </c>
      <c r="AB4">
        <v>3.2748816361093287E-9</v>
      </c>
      <c r="AC4">
        <v>5.9240493379726514E-7</v>
      </c>
      <c r="AD4">
        <v>2.3104758815428814E-8</v>
      </c>
      <c r="AE4">
        <v>2.0589366338626049E-6</v>
      </c>
      <c r="AF4">
        <v>-1.616362332871029E-6</v>
      </c>
      <c r="AG4">
        <v>1.6358384404463319E-7</v>
      </c>
      <c r="AH4">
        <v>4.481165238095768E-4</v>
      </c>
    </row>
    <row r="5" spans="1:34" x14ac:dyDescent="0.2">
      <c r="A5" t="s">
        <v>46</v>
      </c>
      <c r="B5">
        <v>-5.6978641891232473E-2</v>
      </c>
      <c r="C5">
        <v>-4.0469963868103613E-4</v>
      </c>
      <c r="D5">
        <v>-1.7717214786619473E-5</v>
      </c>
      <c r="E5">
        <v>4.6151066510557396E-8</v>
      </c>
      <c r="F5">
        <v>2.8659181502856206E-3</v>
      </c>
      <c r="G5">
        <v>2.2682912610287303E-3</v>
      </c>
      <c r="H5">
        <v>-2.8680903795445361E-5</v>
      </c>
      <c r="I5">
        <v>-1.6226729905685057E-5</v>
      </c>
      <c r="J5">
        <v>2.1226453854740392E-4</v>
      </c>
      <c r="K5">
        <v>5.9022742568829519E-4</v>
      </c>
      <c r="L5">
        <v>-3.1295893523244076E-4</v>
      </c>
      <c r="M5">
        <v>3.352963146669699E-4</v>
      </c>
      <c r="N5">
        <v>5.5659138931980626E-4</v>
      </c>
      <c r="O5">
        <v>2.2267248504982684E-3</v>
      </c>
      <c r="P5">
        <v>-8.1718167609216223E-4</v>
      </c>
      <c r="Q5">
        <v>1.2931939006853746E-3</v>
      </c>
      <c r="R5">
        <v>2.7084558375285411E-3</v>
      </c>
      <c r="S5">
        <v>1.7761513120647533E-3</v>
      </c>
      <c r="T5">
        <v>1.4529282599344687E-3</v>
      </c>
      <c r="U5">
        <v>1.1663657908983381E-3</v>
      </c>
      <c r="V5">
        <v>1.335661274960275E-3</v>
      </c>
      <c r="W5">
        <v>1.6427530023333783E-3</v>
      </c>
      <c r="X5">
        <v>1.6618138205497365E-3</v>
      </c>
      <c r="Y5">
        <v>1.7502671913798978E-3</v>
      </c>
      <c r="Z5">
        <v>1.4903046442211864E-3</v>
      </c>
      <c r="AA5">
        <v>2.0919809217895286E-3</v>
      </c>
      <c r="AB5">
        <v>3.5848400819587806E-5</v>
      </c>
      <c r="AC5">
        <v>-1.8710326232145697E-4</v>
      </c>
      <c r="AD5">
        <v>-1.1999236476008452E-4</v>
      </c>
      <c r="AE5">
        <v>6.2365683926954925E-4</v>
      </c>
      <c r="AF5">
        <v>7.6051332064854694E-3</v>
      </c>
      <c r="AG5">
        <v>3.8684777698520909E-4</v>
      </c>
      <c r="AH5">
        <v>-1.819257928147436E-3</v>
      </c>
    </row>
    <row r="6" spans="1:34" x14ac:dyDescent="0.2">
      <c r="A6" t="s">
        <v>47</v>
      </c>
      <c r="B6">
        <v>-8.1493431594563098E-2</v>
      </c>
      <c r="C6">
        <v>-5.54382860836604E-4</v>
      </c>
      <c r="D6">
        <v>-3.5713878286720846E-5</v>
      </c>
      <c r="E6">
        <v>4.484265427376604E-8</v>
      </c>
      <c r="F6">
        <v>2.2682912610287303E-3</v>
      </c>
      <c r="G6">
        <v>3.688295125003304E-3</v>
      </c>
      <c r="H6">
        <v>-1.9994871302973556E-5</v>
      </c>
      <c r="I6">
        <v>-7.2654009765892114E-6</v>
      </c>
      <c r="J6">
        <v>3.7334999079887684E-4</v>
      </c>
      <c r="K6">
        <v>7.0777474133876511E-4</v>
      </c>
      <c r="L6">
        <v>4.1664123801558428E-5</v>
      </c>
      <c r="M6">
        <v>7.8198695814193898E-4</v>
      </c>
      <c r="N6">
        <v>1.1166743283140415E-3</v>
      </c>
      <c r="O6">
        <v>2.7102445330310443E-3</v>
      </c>
      <c r="P6">
        <v>-7.2765040284540898E-4</v>
      </c>
      <c r="Q6">
        <v>9.8886710158728485E-4</v>
      </c>
      <c r="R6">
        <v>2.1788963811873209E-3</v>
      </c>
      <c r="S6">
        <v>1.5132251795556386E-3</v>
      </c>
      <c r="T6">
        <v>1.0013006414027656E-3</v>
      </c>
      <c r="U6">
        <v>9.8877265442824441E-4</v>
      </c>
      <c r="V6">
        <v>1.0799635905759455E-3</v>
      </c>
      <c r="W6">
        <v>1.1602300072375798E-3</v>
      </c>
      <c r="X6">
        <v>1.2500570311553977E-3</v>
      </c>
      <c r="Y6">
        <v>1.0840893212601536E-3</v>
      </c>
      <c r="Z6">
        <v>1.1387451358837071E-3</v>
      </c>
      <c r="AA6">
        <v>6.2501823023430685E-4</v>
      </c>
      <c r="AB6">
        <v>5.1210280682712145E-5</v>
      </c>
      <c r="AC6">
        <v>-7.4405674213434475E-5</v>
      </c>
      <c r="AD6">
        <v>2.0963647012249478E-4</v>
      </c>
      <c r="AE6">
        <v>1.0525128930708783E-4</v>
      </c>
      <c r="AF6">
        <v>6.8419731188036279E-3</v>
      </c>
      <c r="AG6">
        <v>5.2570244195466618E-4</v>
      </c>
      <c r="AH6">
        <v>-1.9271281527377549E-3</v>
      </c>
    </row>
    <row r="7" spans="1:34" x14ac:dyDescent="0.2">
      <c r="A7" t="s">
        <v>48</v>
      </c>
      <c r="B7">
        <v>-3.7952887242513442E-3</v>
      </c>
      <c r="C7">
        <v>8.4260365890866294E-6</v>
      </c>
      <c r="D7">
        <v>5.671585134038289E-7</v>
      </c>
      <c r="E7">
        <v>2.6807243763485447E-10</v>
      </c>
      <c r="F7">
        <v>-2.8680903795445361E-5</v>
      </c>
      <c r="G7">
        <v>-1.9994871302973556E-5</v>
      </c>
      <c r="H7">
        <v>4.0379346545997794E-6</v>
      </c>
      <c r="I7">
        <v>6.3229310787963879E-7</v>
      </c>
      <c r="J7">
        <v>-7.5256200605295937E-6</v>
      </c>
      <c r="K7">
        <v>-2.0794992174394189E-6</v>
      </c>
      <c r="L7">
        <v>1.0574195319817663E-6</v>
      </c>
      <c r="M7">
        <v>-1.7869099562342042E-5</v>
      </c>
      <c r="N7">
        <v>-1.5708443498070563E-5</v>
      </c>
      <c r="O7">
        <v>-7.1170358320208165E-5</v>
      </c>
      <c r="P7">
        <v>6.4334052587983025E-5</v>
      </c>
      <c r="Q7">
        <v>-6.0411349233727184E-5</v>
      </c>
      <c r="R7">
        <v>-1.0723041299715182E-4</v>
      </c>
      <c r="S7">
        <v>-5.3994170794658674E-5</v>
      </c>
      <c r="T7">
        <v>-6.2662108654399908E-5</v>
      </c>
      <c r="U7">
        <v>-4.7611169507052317E-5</v>
      </c>
      <c r="V7">
        <v>-5.8374011667969319E-5</v>
      </c>
      <c r="W7">
        <v>-5.1738093082695304E-5</v>
      </c>
      <c r="X7">
        <v>-6.6547871275548953E-5</v>
      </c>
      <c r="Y7">
        <v>-7.2590005614538925E-5</v>
      </c>
      <c r="Z7">
        <v>-6.9044194975464822E-5</v>
      </c>
      <c r="AA7">
        <v>-8.3551933869536037E-5</v>
      </c>
      <c r="AB7">
        <v>-1.0073425169862895E-6</v>
      </c>
      <c r="AC7">
        <v>1.3133144856997245E-5</v>
      </c>
      <c r="AD7">
        <v>1.3482190978086173E-5</v>
      </c>
      <c r="AE7">
        <v>-2.0425349189083405E-5</v>
      </c>
      <c r="AF7">
        <v>-2.7453029369290424E-4</v>
      </c>
      <c r="AG7">
        <v>-1.1501145960016873E-5</v>
      </c>
      <c r="AH7">
        <v>-1.4289522462295205E-4</v>
      </c>
    </row>
    <row r="8" spans="1:34" x14ac:dyDescent="0.2">
      <c r="A8" t="s">
        <v>49</v>
      </c>
      <c r="B8">
        <v>-5.1167218877561191E-4</v>
      </c>
      <c r="C8">
        <v>-4.4386836146786797E-6</v>
      </c>
      <c r="D8">
        <v>1.8990723777065333E-6</v>
      </c>
      <c r="E8">
        <v>-2.0981996045777586E-8</v>
      </c>
      <c r="F8">
        <v>-1.6226729905685057E-5</v>
      </c>
      <c r="G8">
        <v>-7.2654009765892114E-6</v>
      </c>
      <c r="H8">
        <v>6.3229310787963879E-7</v>
      </c>
      <c r="I8">
        <v>3.3365310498027725E-6</v>
      </c>
      <c r="J8">
        <v>-1.1991324996026463E-5</v>
      </c>
      <c r="K8">
        <v>-6.6390678359438412E-6</v>
      </c>
      <c r="L8">
        <v>9.0905796791849017E-6</v>
      </c>
      <c r="M8">
        <v>-1.3565676684350734E-5</v>
      </c>
      <c r="N8">
        <v>-1.6173409185683054E-5</v>
      </c>
      <c r="O8">
        <v>-2.6029853321370451E-5</v>
      </c>
      <c r="P8">
        <v>2.9861717096366903E-5</v>
      </c>
      <c r="Q8">
        <v>-2.3195700718175647E-5</v>
      </c>
      <c r="R8">
        <v>-3.1988711752045098E-5</v>
      </c>
      <c r="S8">
        <v>-2.2160396650339328E-5</v>
      </c>
      <c r="T8">
        <v>-3.2324372041095181E-5</v>
      </c>
      <c r="U8">
        <v>-2.2342797700022625E-5</v>
      </c>
      <c r="V8">
        <v>-2.9586486678764018E-5</v>
      </c>
      <c r="W8">
        <v>-2.6505567544639002E-5</v>
      </c>
      <c r="X8">
        <v>-3.0681303364604311E-5</v>
      </c>
      <c r="Y8">
        <v>-3.2401057453457197E-5</v>
      </c>
      <c r="Z8">
        <v>-2.8728158133201981E-5</v>
      </c>
      <c r="AA8">
        <v>-5.1641255890111471E-5</v>
      </c>
      <c r="AB8">
        <v>1.341448928771049E-6</v>
      </c>
      <c r="AC8">
        <v>3.7435135247499801E-6</v>
      </c>
      <c r="AD8">
        <v>9.2191196015677795E-7</v>
      </c>
      <c r="AE8">
        <v>-1.8325109982247564E-5</v>
      </c>
      <c r="AF8">
        <v>-4.1991523566367898E-5</v>
      </c>
      <c r="AG8">
        <v>-2.2058161436405055E-6</v>
      </c>
      <c r="AH8">
        <v>-1.9698256871113987E-4</v>
      </c>
    </row>
    <row r="9" spans="1:34" x14ac:dyDescent="0.2">
      <c r="A9" t="s">
        <v>50</v>
      </c>
      <c r="B9">
        <v>0.77485627980638583</v>
      </c>
      <c r="C9">
        <v>4.7725993084746373E-4</v>
      </c>
      <c r="D9">
        <v>-1.9329990415892576E-4</v>
      </c>
      <c r="E9">
        <v>-5.4191886436613982E-8</v>
      </c>
      <c r="F9">
        <v>2.1226453854740392E-4</v>
      </c>
      <c r="G9">
        <v>3.7334999079887684E-4</v>
      </c>
      <c r="H9">
        <v>-7.5256200605295937E-6</v>
      </c>
      <c r="I9">
        <v>-1.1991324996026463E-5</v>
      </c>
      <c r="J9">
        <v>3.6900126391394414E-3</v>
      </c>
      <c r="K9">
        <v>1.0268076378352111E-3</v>
      </c>
      <c r="L9">
        <v>7.7120558748386501E-5</v>
      </c>
      <c r="M9">
        <v>4.3651690373588091E-4</v>
      </c>
      <c r="N9">
        <v>5.5115819974678459E-4</v>
      </c>
      <c r="O9">
        <v>4.5876997706611501E-4</v>
      </c>
      <c r="P9">
        <v>-4.550469522437749E-4</v>
      </c>
      <c r="Q9">
        <v>-1.2226850758766811E-4</v>
      </c>
      <c r="R9">
        <v>-5.6157094869523083E-5</v>
      </c>
      <c r="S9">
        <v>4.2123989987186659E-4</v>
      </c>
      <c r="T9">
        <v>1.0328307391924488E-4</v>
      </c>
      <c r="U9">
        <v>2.2656234990201841E-4</v>
      </c>
      <c r="V9">
        <v>2.4471973266321917E-4</v>
      </c>
      <c r="W9">
        <v>-2.3721702735280542E-4</v>
      </c>
      <c r="X9">
        <v>-4.134004719650794E-5</v>
      </c>
      <c r="Y9">
        <v>3.0256220723831433E-4</v>
      </c>
      <c r="Z9">
        <v>1.4507101567056736E-4</v>
      </c>
      <c r="AA9">
        <v>2.9511794419327143E-4</v>
      </c>
      <c r="AB9">
        <v>6.8971472579786638E-5</v>
      </c>
      <c r="AC9">
        <v>2.0365020453267171E-5</v>
      </c>
      <c r="AD9">
        <v>4.645467348695833E-4</v>
      </c>
      <c r="AE9">
        <v>-1.0236073386521785E-4</v>
      </c>
      <c r="AF9">
        <v>-8.7972050124497658E-4</v>
      </c>
      <c r="AG9">
        <v>5.3942006835001194E-4</v>
      </c>
      <c r="AH9">
        <v>9.4577726647311899E-3</v>
      </c>
    </row>
    <row r="10" spans="1:34" x14ac:dyDescent="0.2">
      <c r="A10" t="s">
        <v>51</v>
      </c>
      <c r="B10">
        <v>0.62918171366625486</v>
      </c>
      <c r="C10">
        <v>-4.4952064074734355E-4</v>
      </c>
      <c r="D10">
        <v>8.9292078514432299E-4</v>
      </c>
      <c r="E10">
        <v>-7.6806941235559771E-6</v>
      </c>
      <c r="F10">
        <v>5.9022742568829519E-4</v>
      </c>
      <c r="G10">
        <v>7.0777474133876511E-4</v>
      </c>
      <c r="H10">
        <v>-2.0794992174394189E-6</v>
      </c>
      <c r="I10">
        <v>-6.6390678359438412E-6</v>
      </c>
      <c r="J10">
        <v>1.0268076378352111E-3</v>
      </c>
      <c r="K10">
        <v>8.9660276791694825E-3</v>
      </c>
      <c r="L10">
        <v>1.7141716509632473E-3</v>
      </c>
      <c r="M10">
        <v>7.0405851016975716E-3</v>
      </c>
      <c r="N10">
        <v>7.4754929104369656E-3</v>
      </c>
      <c r="O10">
        <v>7.5868447877514289E-3</v>
      </c>
      <c r="P10">
        <v>-1.8494852122553484E-3</v>
      </c>
      <c r="Q10">
        <v>1.3157310960095134E-3</v>
      </c>
      <c r="R10">
        <v>1.3591066915692798E-3</v>
      </c>
      <c r="S10">
        <v>1.1618053842550637E-3</v>
      </c>
      <c r="T10">
        <v>1.2447900965659349E-3</v>
      </c>
      <c r="U10">
        <v>1.6174661195236476E-3</v>
      </c>
      <c r="V10">
        <v>1.4262037967384157E-3</v>
      </c>
      <c r="W10">
        <v>1.4231163195223169E-3</v>
      </c>
      <c r="X10">
        <v>1.2965759536112224E-3</v>
      </c>
      <c r="Y10">
        <v>2.0974415751864976E-3</v>
      </c>
      <c r="Z10">
        <v>1.289816876460053E-3</v>
      </c>
      <c r="AA10">
        <v>9.4623897970569359E-4</v>
      </c>
      <c r="AB10">
        <v>-3.7619499609088496E-5</v>
      </c>
      <c r="AC10">
        <v>2.425105784918842E-4</v>
      </c>
      <c r="AD10">
        <v>4.8964008701457909E-4</v>
      </c>
      <c r="AE10">
        <v>-2.2052215545302796E-4</v>
      </c>
      <c r="AF10">
        <v>-8.5812201510315766E-4</v>
      </c>
      <c r="AG10">
        <v>2.8076574634784143E-4</v>
      </c>
      <c r="AH10">
        <v>-3.412094008345555E-2</v>
      </c>
    </row>
    <row r="11" spans="1:34" x14ac:dyDescent="0.2">
      <c r="A11" t="s">
        <v>52</v>
      </c>
      <c r="B11">
        <v>7.4549858318754617E-2</v>
      </c>
      <c r="C11">
        <v>1.6805615926366674E-4</v>
      </c>
      <c r="D11">
        <v>2.7499527210212999E-4</v>
      </c>
      <c r="E11">
        <v>-2.5428085678137749E-6</v>
      </c>
      <c r="F11">
        <v>-3.1295893523244076E-4</v>
      </c>
      <c r="G11">
        <v>4.1664123801558428E-5</v>
      </c>
      <c r="H11">
        <v>1.0574195319817663E-6</v>
      </c>
      <c r="I11">
        <v>9.0905796791849017E-6</v>
      </c>
      <c r="J11">
        <v>7.7120558748386501E-5</v>
      </c>
      <c r="K11">
        <v>1.7141716509632473E-3</v>
      </c>
      <c r="L11">
        <v>4.3672175594218245E-3</v>
      </c>
      <c r="M11">
        <v>3.2305340721186775E-3</v>
      </c>
      <c r="N11">
        <v>3.1371758163413325E-3</v>
      </c>
      <c r="O11">
        <v>2.8322877684086338E-3</v>
      </c>
      <c r="P11">
        <v>7.8825359195115741E-5</v>
      </c>
      <c r="Q11">
        <v>-7.3305771019248431E-4</v>
      </c>
      <c r="R11">
        <v>-7.6691698080166328E-4</v>
      </c>
      <c r="S11">
        <v>-7.0918957247108165E-4</v>
      </c>
      <c r="T11">
        <v>-1.0254101384211986E-3</v>
      </c>
      <c r="U11">
        <v>-8.2881089801290332E-4</v>
      </c>
      <c r="V11">
        <v>-1.0346571724181948E-3</v>
      </c>
      <c r="W11">
        <v>-1.0613829057752305E-3</v>
      </c>
      <c r="X11">
        <v>-8.7709621284273774E-4</v>
      </c>
      <c r="Y11">
        <v>-2.3091163573465013E-4</v>
      </c>
      <c r="Z11">
        <v>-5.8363907789705464E-4</v>
      </c>
      <c r="AA11">
        <v>-1.4329705759947844E-3</v>
      </c>
      <c r="AB11">
        <v>3.9903478823300875E-5</v>
      </c>
      <c r="AC11">
        <v>-1.3441061572493041E-4</v>
      </c>
      <c r="AD11">
        <v>4.5915408693277676E-5</v>
      </c>
      <c r="AE11">
        <v>-5.3505122811268449E-4</v>
      </c>
      <c r="AF11">
        <v>-1.920108174969952E-3</v>
      </c>
      <c r="AG11">
        <v>-9.6384816120811435E-4</v>
      </c>
      <c r="AH11">
        <v>-1.0667054868792623E-2</v>
      </c>
    </row>
    <row r="12" spans="1:34" x14ac:dyDescent="0.2">
      <c r="A12" t="s">
        <v>53</v>
      </c>
      <c r="B12">
        <v>7.0393091359041607E-2</v>
      </c>
      <c r="C12">
        <v>-8.3083020343160388E-5</v>
      </c>
      <c r="D12">
        <v>4.0311869606346473E-4</v>
      </c>
      <c r="E12">
        <v>-3.6054997783705205E-6</v>
      </c>
      <c r="F12">
        <v>3.352963146669699E-4</v>
      </c>
      <c r="G12">
        <v>7.8198695814193898E-4</v>
      </c>
      <c r="H12">
        <v>-1.7869099562342042E-5</v>
      </c>
      <c r="I12">
        <v>-1.3565676684350734E-5</v>
      </c>
      <c r="J12">
        <v>4.3651690373588091E-4</v>
      </c>
      <c r="K12">
        <v>7.0405851016975716E-3</v>
      </c>
      <c r="L12">
        <v>3.2305340721186775E-3</v>
      </c>
      <c r="M12">
        <v>1.0473604107478433E-2</v>
      </c>
      <c r="N12">
        <v>9.0469323202690237E-3</v>
      </c>
      <c r="O12">
        <v>9.0642255094086615E-3</v>
      </c>
      <c r="P12">
        <v>5.5750987780650747E-4</v>
      </c>
      <c r="Q12">
        <v>3.4027327611498362E-4</v>
      </c>
      <c r="R12">
        <v>3.5296343526014171E-4</v>
      </c>
      <c r="S12">
        <v>2.977723015135424E-4</v>
      </c>
      <c r="T12">
        <v>3.1847121522002655E-4</v>
      </c>
      <c r="U12">
        <v>7.0564701151809225E-4</v>
      </c>
      <c r="V12">
        <v>4.9057592197365111E-4</v>
      </c>
      <c r="W12">
        <v>4.2688798961256109E-4</v>
      </c>
      <c r="X12">
        <v>7.2513678301753919E-4</v>
      </c>
      <c r="Y12">
        <v>1.0010173519954353E-3</v>
      </c>
      <c r="Z12">
        <v>6.0840625022605746E-4</v>
      </c>
      <c r="AA12">
        <v>-1.1198313090052606E-5</v>
      </c>
      <c r="AB12">
        <v>-3.8332909936400397E-5</v>
      </c>
      <c r="AC12">
        <v>3.9491453755743401E-4</v>
      </c>
      <c r="AD12">
        <v>5.4097880569752791E-4</v>
      </c>
      <c r="AE12">
        <v>7.0063799912934918E-5</v>
      </c>
      <c r="AF12">
        <v>-1.0449402298654681E-3</v>
      </c>
      <c r="AG12">
        <v>-6.7502637613636664E-4</v>
      </c>
      <c r="AH12">
        <v>-1.8937269770477341E-2</v>
      </c>
    </row>
    <row r="13" spans="1:34" x14ac:dyDescent="0.2">
      <c r="A13" t="s">
        <v>54</v>
      </c>
      <c r="B13">
        <v>0.11449327643682537</v>
      </c>
      <c r="C13">
        <v>-2.4956895152148761E-4</v>
      </c>
      <c r="D13">
        <v>4.2373908339480085E-4</v>
      </c>
      <c r="E13">
        <v>-3.6614599165258883E-6</v>
      </c>
      <c r="F13">
        <v>5.5659138931980626E-4</v>
      </c>
      <c r="G13">
        <v>1.1166743283140415E-3</v>
      </c>
      <c r="H13">
        <v>-1.5708443498070563E-5</v>
      </c>
      <c r="I13">
        <v>-1.6173409185683054E-5</v>
      </c>
      <c r="J13">
        <v>5.5115819974678459E-4</v>
      </c>
      <c r="K13">
        <v>7.4754929104369656E-3</v>
      </c>
      <c r="L13">
        <v>3.1371758163413325E-3</v>
      </c>
      <c r="M13">
        <v>9.0469323202690237E-3</v>
      </c>
      <c r="N13">
        <v>1.0912631658165771E-2</v>
      </c>
      <c r="O13">
        <v>9.5794160971254295E-3</v>
      </c>
      <c r="P13">
        <v>5.3117604113520501E-4</v>
      </c>
      <c r="Q13">
        <v>1.0900050903671615E-3</v>
      </c>
      <c r="R13">
        <v>1.0192459785653488E-3</v>
      </c>
      <c r="S13">
        <v>1.1163844476582904E-3</v>
      </c>
      <c r="T13">
        <v>8.0666957241464117E-4</v>
      </c>
      <c r="U13">
        <v>1.1847738146300094E-3</v>
      </c>
      <c r="V13">
        <v>1.1480010080196033E-3</v>
      </c>
      <c r="W13">
        <v>1.2347180459704159E-3</v>
      </c>
      <c r="X13">
        <v>1.1256431567068272E-3</v>
      </c>
      <c r="Y13">
        <v>1.362299134006496E-3</v>
      </c>
      <c r="Z13">
        <v>9.8301849700627338E-4</v>
      </c>
      <c r="AA13">
        <v>5.6322843189569871E-4</v>
      </c>
      <c r="AB13">
        <v>-6.322045254284858E-5</v>
      </c>
      <c r="AC13">
        <v>4.9785346587575066E-4</v>
      </c>
      <c r="AD13">
        <v>6.9399055150901404E-4</v>
      </c>
      <c r="AE13">
        <v>2.6871663783613244E-4</v>
      </c>
      <c r="AF13">
        <v>-7.280852468784238E-4</v>
      </c>
      <c r="AG13">
        <v>-3.9519406770707364E-4</v>
      </c>
      <c r="AH13">
        <v>-2.0667478881348733E-2</v>
      </c>
    </row>
    <row r="14" spans="1:34" x14ac:dyDescent="0.2">
      <c r="A14" t="s">
        <v>55</v>
      </c>
      <c r="B14">
        <v>0.31890394871273253</v>
      </c>
      <c r="C14">
        <v>-1.2617963506765587E-3</v>
      </c>
      <c r="D14">
        <v>5.4067845796331587E-4</v>
      </c>
      <c r="E14">
        <v>-4.6943075489085334E-6</v>
      </c>
      <c r="F14">
        <v>2.2267248504982684E-3</v>
      </c>
      <c r="G14">
        <v>2.7102445330310443E-3</v>
      </c>
      <c r="H14">
        <v>-7.1170358320208165E-5</v>
      </c>
      <c r="I14">
        <v>-2.6029853321370451E-5</v>
      </c>
      <c r="J14">
        <v>4.5876997706611501E-4</v>
      </c>
      <c r="K14">
        <v>7.5868447877514289E-3</v>
      </c>
      <c r="L14">
        <v>2.8322877684086338E-3</v>
      </c>
      <c r="M14">
        <v>9.0642255094086615E-3</v>
      </c>
      <c r="N14">
        <v>9.5794160971254295E-3</v>
      </c>
      <c r="O14">
        <v>1.3938592499293828E-2</v>
      </c>
      <c r="P14">
        <v>-6.5499803455654031E-4</v>
      </c>
      <c r="Q14">
        <v>4.3594579022992637E-3</v>
      </c>
      <c r="R14">
        <v>7.212897992822577E-3</v>
      </c>
      <c r="S14">
        <v>4.135257681008371E-3</v>
      </c>
      <c r="T14">
        <v>4.3917173449964583E-3</v>
      </c>
      <c r="U14">
        <v>3.8166728555616217E-3</v>
      </c>
      <c r="V14">
        <v>3.9131701462424562E-3</v>
      </c>
      <c r="W14">
        <v>4.0911048381736606E-3</v>
      </c>
      <c r="X14">
        <v>4.71880520951839E-3</v>
      </c>
      <c r="Y14">
        <v>4.9570218174363589E-3</v>
      </c>
      <c r="Z14">
        <v>4.4140177512378333E-3</v>
      </c>
      <c r="AA14">
        <v>4.1347556970880491E-3</v>
      </c>
      <c r="AB14">
        <v>2.7354484483296197E-5</v>
      </c>
      <c r="AC14">
        <v>-2.0327894263164753E-4</v>
      </c>
      <c r="AD14">
        <v>-4.3574259696491091E-5</v>
      </c>
      <c r="AE14">
        <v>1.2673440062318762E-3</v>
      </c>
      <c r="AF14">
        <v>1.5763465662252951E-2</v>
      </c>
      <c r="AG14">
        <v>1.392365592525401E-4</v>
      </c>
      <c r="AH14">
        <v>-2.7016199687477531E-2</v>
      </c>
    </row>
    <row r="15" spans="1:34" x14ac:dyDescent="0.2">
      <c r="A15" t="s">
        <v>56</v>
      </c>
      <c r="B15">
        <v>-0.15047232073835276</v>
      </c>
      <c r="C15">
        <v>4.119258562408155E-4</v>
      </c>
      <c r="D15">
        <v>-3.7847685750770632E-4</v>
      </c>
      <c r="E15">
        <v>3.5999995982966774E-6</v>
      </c>
      <c r="F15">
        <v>-8.1718167609216223E-4</v>
      </c>
      <c r="G15">
        <v>-7.2765040284540898E-4</v>
      </c>
      <c r="H15">
        <v>6.4334052587983025E-5</v>
      </c>
      <c r="I15">
        <v>2.9861717096366903E-5</v>
      </c>
      <c r="J15">
        <v>-4.550469522437749E-4</v>
      </c>
      <c r="K15">
        <v>-1.8494852122553484E-3</v>
      </c>
      <c r="L15">
        <v>7.8825359195115741E-5</v>
      </c>
      <c r="M15">
        <v>5.5750987780650747E-4</v>
      </c>
      <c r="N15">
        <v>5.3117604113520501E-4</v>
      </c>
      <c r="O15">
        <v>-6.5499803455654031E-4</v>
      </c>
      <c r="P15">
        <v>5.1450197233989846E-3</v>
      </c>
      <c r="Q15">
        <v>-1.5696245248767613E-3</v>
      </c>
      <c r="R15">
        <v>-2.7290039204053845E-3</v>
      </c>
      <c r="S15">
        <v>-1.5959901550381961E-3</v>
      </c>
      <c r="T15">
        <v>-1.7383869107770828E-3</v>
      </c>
      <c r="U15">
        <v>-1.2153357764700216E-3</v>
      </c>
      <c r="V15">
        <v>-1.6097379399711894E-3</v>
      </c>
      <c r="W15">
        <v>-1.4207856719574349E-3</v>
      </c>
      <c r="X15">
        <v>-1.6299775716921185E-3</v>
      </c>
      <c r="Y15">
        <v>-2.3684915857274521E-3</v>
      </c>
      <c r="Z15">
        <v>-1.8724375429985248E-3</v>
      </c>
      <c r="AA15">
        <v>-1.8284355101627035E-3</v>
      </c>
      <c r="AB15">
        <v>-5.6782142819483466E-5</v>
      </c>
      <c r="AC15">
        <v>5.6465180211935032E-4</v>
      </c>
      <c r="AD15">
        <v>5.1581357157254488E-4</v>
      </c>
      <c r="AE15">
        <v>-1.0233236484238862E-4</v>
      </c>
      <c r="AF15">
        <v>-6.0385697317993231E-3</v>
      </c>
      <c r="AG15">
        <v>-3.6435477695407822E-4</v>
      </c>
      <c r="AH15">
        <v>7.6964253134643376E-3</v>
      </c>
    </row>
    <row r="16" spans="1:34" x14ac:dyDescent="0.2">
      <c r="A16" t="s">
        <v>57</v>
      </c>
      <c r="B16">
        <v>0.19498921207128844</v>
      </c>
      <c r="C16">
        <v>-1.2400506007801957E-3</v>
      </c>
      <c r="D16">
        <v>1.9799251474569152E-4</v>
      </c>
      <c r="E16">
        <v>-1.4852569616151975E-6</v>
      </c>
      <c r="F16">
        <v>1.2931939006853746E-3</v>
      </c>
      <c r="G16">
        <v>9.8886710158728485E-4</v>
      </c>
      <c r="H16">
        <v>-6.0411349233727184E-5</v>
      </c>
      <c r="I16">
        <v>-2.3195700718175647E-5</v>
      </c>
      <c r="J16">
        <v>-1.2226850758766811E-4</v>
      </c>
      <c r="K16">
        <v>1.3157310960095134E-3</v>
      </c>
      <c r="L16">
        <v>-7.3305771019248431E-4</v>
      </c>
      <c r="M16">
        <v>3.4027327611498362E-4</v>
      </c>
      <c r="N16">
        <v>1.0900050903671615E-3</v>
      </c>
      <c r="O16">
        <v>4.3594579022992637E-3</v>
      </c>
      <c r="P16">
        <v>-1.5696245248767613E-3</v>
      </c>
      <c r="Q16">
        <v>1.4709475549306926E-2</v>
      </c>
      <c r="R16">
        <v>1.1660165653103207E-2</v>
      </c>
      <c r="S16">
        <v>8.5439320330676881E-3</v>
      </c>
      <c r="T16">
        <v>8.8590655845805066E-3</v>
      </c>
      <c r="U16">
        <v>7.8502257147677387E-3</v>
      </c>
      <c r="V16">
        <v>8.3434891310330619E-3</v>
      </c>
      <c r="W16">
        <v>8.4876444549209541E-3</v>
      </c>
      <c r="X16">
        <v>8.9912499719344494E-3</v>
      </c>
      <c r="Y16">
        <v>8.7842592744820421E-3</v>
      </c>
      <c r="Z16">
        <v>8.9666734127294128E-3</v>
      </c>
      <c r="AA16">
        <v>9.1152761538063325E-3</v>
      </c>
      <c r="AB16">
        <v>2.7597326924099202E-5</v>
      </c>
      <c r="AC16">
        <v>-5.9094316174897838E-4</v>
      </c>
      <c r="AD16">
        <v>-1.330654733918404E-4</v>
      </c>
      <c r="AE16">
        <v>3.2543053553938822E-3</v>
      </c>
      <c r="AF16">
        <v>2.0985920751230513E-2</v>
      </c>
      <c r="AG16">
        <v>1.923505930538397E-3</v>
      </c>
      <c r="AH16">
        <v>-1.3568023619253699E-2</v>
      </c>
    </row>
    <row r="17" spans="1:34" x14ac:dyDescent="0.2">
      <c r="A17" t="s">
        <v>58</v>
      </c>
      <c r="B17">
        <v>0.22919334068716524</v>
      </c>
      <c r="C17">
        <v>-1.752979235595681E-3</v>
      </c>
      <c r="D17">
        <v>2.0179938610083437E-4</v>
      </c>
      <c r="E17">
        <v>-1.8791101348170514E-6</v>
      </c>
      <c r="F17">
        <v>2.7084558375285411E-3</v>
      </c>
      <c r="G17">
        <v>2.1788963811873209E-3</v>
      </c>
      <c r="H17">
        <v>-1.0723041299715182E-4</v>
      </c>
      <c r="I17">
        <v>-3.1988711752045098E-5</v>
      </c>
      <c r="J17">
        <v>-5.6157094869523083E-5</v>
      </c>
      <c r="K17">
        <v>1.3591066915692798E-3</v>
      </c>
      <c r="L17">
        <v>-7.6691698080166328E-4</v>
      </c>
      <c r="M17">
        <v>3.5296343526014171E-4</v>
      </c>
      <c r="N17">
        <v>1.0192459785653488E-3</v>
      </c>
      <c r="O17">
        <v>7.212897992822577E-3</v>
      </c>
      <c r="P17">
        <v>-2.7290039204053845E-3</v>
      </c>
      <c r="Q17">
        <v>1.1660165653103207E-2</v>
      </c>
      <c r="R17">
        <v>1.9562179373491501E-2</v>
      </c>
      <c r="S17">
        <v>1.1230377153280161E-2</v>
      </c>
      <c r="T17">
        <v>1.1666140138059035E-2</v>
      </c>
      <c r="U17">
        <v>1.0122770688945001E-2</v>
      </c>
      <c r="V17">
        <v>1.0907253458070101E-2</v>
      </c>
      <c r="W17">
        <v>1.1094008077860644E-2</v>
      </c>
      <c r="X17">
        <v>1.2031490949979514E-2</v>
      </c>
      <c r="Y17">
        <v>1.1823294663066334E-2</v>
      </c>
      <c r="Z17">
        <v>1.1906488608960587E-2</v>
      </c>
      <c r="AA17">
        <v>1.2389215922052992E-2</v>
      </c>
      <c r="AB17">
        <v>1.6233642999001073E-4</v>
      </c>
      <c r="AC17">
        <v>-1.522242615115345E-3</v>
      </c>
      <c r="AD17">
        <v>-1.2373644160117835E-3</v>
      </c>
      <c r="AE17">
        <v>3.8934851761684352E-3</v>
      </c>
      <c r="AF17">
        <v>3.7532000438459528E-2</v>
      </c>
      <c r="AG17">
        <v>2.0953449363210735E-3</v>
      </c>
      <c r="AH17">
        <v>-1.6097737061240205E-2</v>
      </c>
    </row>
    <row r="18" spans="1:34" x14ac:dyDescent="0.2">
      <c r="A18" t="s">
        <v>59</v>
      </c>
      <c r="B18">
        <v>0.11364634617343179</v>
      </c>
      <c r="C18">
        <v>-1.1044162876284705E-3</v>
      </c>
      <c r="D18">
        <v>5.3164751290087076E-5</v>
      </c>
      <c r="E18">
        <v>-5.5109245810546414E-7</v>
      </c>
      <c r="F18">
        <v>1.7761513120647533E-3</v>
      </c>
      <c r="G18">
        <v>1.5132251795556386E-3</v>
      </c>
      <c r="H18">
        <v>-5.3994170794658674E-5</v>
      </c>
      <c r="I18">
        <v>-2.2160396650339328E-5</v>
      </c>
      <c r="J18">
        <v>4.2123989987186659E-4</v>
      </c>
      <c r="K18">
        <v>1.1618053842550637E-3</v>
      </c>
      <c r="L18">
        <v>-7.0918957247108165E-4</v>
      </c>
      <c r="M18">
        <v>2.977723015135424E-4</v>
      </c>
      <c r="N18">
        <v>1.1163844476582904E-3</v>
      </c>
      <c r="O18">
        <v>4.135257681008371E-3</v>
      </c>
      <c r="P18">
        <v>-1.5959901550381961E-3</v>
      </c>
      <c r="Q18">
        <v>8.5439320330676881E-3</v>
      </c>
      <c r="R18">
        <v>1.1230377153280161E-2</v>
      </c>
      <c r="S18">
        <v>1.2404247068863406E-2</v>
      </c>
      <c r="T18">
        <v>8.5880419554335702E-3</v>
      </c>
      <c r="U18">
        <v>7.6828668700668675E-3</v>
      </c>
      <c r="V18">
        <v>8.0970320675001449E-3</v>
      </c>
      <c r="W18">
        <v>8.2495293725753111E-3</v>
      </c>
      <c r="X18">
        <v>8.7195192111342804E-3</v>
      </c>
      <c r="Y18">
        <v>8.546995349838736E-3</v>
      </c>
      <c r="Z18">
        <v>8.7146935578089578E-3</v>
      </c>
      <c r="AA18">
        <v>8.8718148999862891E-3</v>
      </c>
      <c r="AB18">
        <v>2.2288423146303452E-5</v>
      </c>
      <c r="AC18">
        <v>-3.4140819334361767E-4</v>
      </c>
      <c r="AD18">
        <v>1.7778054945115536E-4</v>
      </c>
      <c r="AE18">
        <v>3.179388566618575E-3</v>
      </c>
      <c r="AF18">
        <v>1.9783038964295299E-2</v>
      </c>
      <c r="AG18">
        <v>1.8357515653340852E-3</v>
      </c>
      <c r="AH18">
        <v>-8.7718687944399049E-3</v>
      </c>
    </row>
    <row r="19" spans="1:34" x14ac:dyDescent="0.2">
      <c r="A19" t="s">
        <v>60</v>
      </c>
      <c r="B19">
        <v>0.18008110954421672</v>
      </c>
      <c r="C19">
        <v>-1.3855037154989363E-3</v>
      </c>
      <c r="D19">
        <v>7.9164708423541674E-5</v>
      </c>
      <c r="E19">
        <v>-6.4763107066723559E-7</v>
      </c>
      <c r="F19">
        <v>1.4529282599344687E-3</v>
      </c>
      <c r="G19">
        <v>1.0013006414027656E-3</v>
      </c>
      <c r="H19">
        <v>-6.2662108654399908E-5</v>
      </c>
      <c r="I19">
        <v>-3.2324372041095181E-5</v>
      </c>
      <c r="J19">
        <v>1.0328307391924488E-4</v>
      </c>
      <c r="K19">
        <v>1.2447900965659349E-3</v>
      </c>
      <c r="L19">
        <v>-1.0254101384211986E-3</v>
      </c>
      <c r="M19">
        <v>3.1847121522002655E-4</v>
      </c>
      <c r="N19">
        <v>8.0666957241464117E-4</v>
      </c>
      <c r="O19">
        <v>4.3917173449964583E-3</v>
      </c>
      <c r="P19">
        <v>-1.7383869107770828E-3</v>
      </c>
      <c r="Q19">
        <v>8.8590655845805066E-3</v>
      </c>
      <c r="R19">
        <v>1.1666140138059035E-2</v>
      </c>
      <c r="S19">
        <v>8.5880419554335702E-3</v>
      </c>
      <c r="T19">
        <v>1.3379832213021548E-2</v>
      </c>
      <c r="U19">
        <v>7.9463148224715504E-3</v>
      </c>
      <c r="V19">
        <v>8.4250071033311388E-3</v>
      </c>
      <c r="W19">
        <v>8.5313157182222883E-3</v>
      </c>
      <c r="X19">
        <v>9.0796609549258153E-3</v>
      </c>
      <c r="Y19">
        <v>8.9297023710487346E-3</v>
      </c>
      <c r="Z19">
        <v>9.0523164493679052E-3</v>
      </c>
      <c r="AA19">
        <v>9.2788070255344305E-3</v>
      </c>
      <c r="AB19">
        <v>4.3108872346140888E-5</v>
      </c>
      <c r="AC19">
        <v>-6.3878496559814039E-4</v>
      </c>
      <c r="AD19">
        <v>-6.0311079026196786E-4</v>
      </c>
      <c r="AE19">
        <v>3.0237732805300432E-3</v>
      </c>
      <c r="AF19">
        <v>2.0772277039572795E-2</v>
      </c>
      <c r="AG19">
        <v>2.0354251848845708E-3</v>
      </c>
      <c r="AH19">
        <v>-9.1502308541321978E-3</v>
      </c>
    </row>
    <row r="20" spans="1:34" x14ac:dyDescent="0.2">
      <c r="A20" t="s">
        <v>61</v>
      </c>
      <c r="B20">
        <v>5.1314653015136477E-2</v>
      </c>
      <c r="C20">
        <v>-9.235843618826305E-4</v>
      </c>
      <c r="D20">
        <v>1.7724003109485797E-4</v>
      </c>
      <c r="E20">
        <v>-1.4451342233057392E-6</v>
      </c>
      <c r="F20">
        <v>1.1663657908983381E-3</v>
      </c>
      <c r="G20">
        <v>9.8877265442824441E-4</v>
      </c>
      <c r="H20">
        <v>-4.7611169507052317E-5</v>
      </c>
      <c r="I20">
        <v>-2.2342797700022625E-5</v>
      </c>
      <c r="J20">
        <v>2.2656234990201841E-4</v>
      </c>
      <c r="K20">
        <v>1.6174661195236476E-3</v>
      </c>
      <c r="L20">
        <v>-8.2881089801290332E-4</v>
      </c>
      <c r="M20">
        <v>7.0564701151809225E-4</v>
      </c>
      <c r="N20">
        <v>1.1847738146300094E-3</v>
      </c>
      <c r="O20">
        <v>3.8166728555616217E-3</v>
      </c>
      <c r="P20">
        <v>-1.2153357764700216E-3</v>
      </c>
      <c r="Q20">
        <v>7.8502257147677387E-3</v>
      </c>
      <c r="R20">
        <v>1.0122770688945001E-2</v>
      </c>
      <c r="S20">
        <v>7.6828668700668675E-3</v>
      </c>
      <c r="T20">
        <v>7.9463148224715504E-3</v>
      </c>
      <c r="U20">
        <v>1.1864612924827038E-2</v>
      </c>
      <c r="V20">
        <v>7.5531615113648013E-3</v>
      </c>
      <c r="W20">
        <v>7.6839211716017821E-3</v>
      </c>
      <c r="X20">
        <v>8.0999325576045951E-3</v>
      </c>
      <c r="Y20">
        <v>7.8663495401524383E-3</v>
      </c>
      <c r="Z20">
        <v>8.0194259064245797E-3</v>
      </c>
      <c r="AA20">
        <v>8.1321525518787564E-3</v>
      </c>
      <c r="AB20">
        <v>1.5008214711442584E-5</v>
      </c>
      <c r="AC20">
        <v>-6.9585107433313594E-5</v>
      </c>
      <c r="AD20">
        <v>-1.8372963733182066E-4</v>
      </c>
      <c r="AE20">
        <v>2.4432313578488505E-3</v>
      </c>
      <c r="AF20">
        <v>1.6749424720029788E-2</v>
      </c>
      <c r="AG20">
        <v>1.3971580225515111E-3</v>
      </c>
      <c r="AH20">
        <v>-1.2308891839938624E-2</v>
      </c>
    </row>
    <row r="21" spans="1:34" x14ac:dyDescent="0.2">
      <c r="A21" t="s">
        <v>62</v>
      </c>
      <c r="B21">
        <v>0.19316226955733787</v>
      </c>
      <c r="C21">
        <v>-1.0197156011623847E-3</v>
      </c>
      <c r="D21">
        <v>1.2868067162564306E-4</v>
      </c>
      <c r="E21">
        <v>-1.0873565336841796E-6</v>
      </c>
      <c r="F21">
        <v>1.335661274960275E-3</v>
      </c>
      <c r="G21">
        <v>1.0799635905759455E-3</v>
      </c>
      <c r="H21">
        <v>-5.8374011667969319E-5</v>
      </c>
      <c r="I21">
        <v>-2.9586486678764018E-5</v>
      </c>
      <c r="J21">
        <v>2.4471973266321917E-4</v>
      </c>
      <c r="K21">
        <v>1.4262037967384157E-3</v>
      </c>
      <c r="L21">
        <v>-1.0346571724181948E-3</v>
      </c>
      <c r="M21">
        <v>4.9057592197365111E-4</v>
      </c>
      <c r="N21">
        <v>1.1480010080196033E-3</v>
      </c>
      <c r="O21">
        <v>3.9131701462424562E-3</v>
      </c>
      <c r="P21">
        <v>-1.6097379399711894E-3</v>
      </c>
      <c r="Q21">
        <v>8.3434891310330619E-3</v>
      </c>
      <c r="R21">
        <v>1.0907253458070101E-2</v>
      </c>
      <c r="S21">
        <v>8.0970320675001449E-3</v>
      </c>
      <c r="T21">
        <v>8.4250071033311388E-3</v>
      </c>
      <c r="U21">
        <v>7.5531615113648013E-3</v>
      </c>
      <c r="V21">
        <v>1.14182219107268E-2</v>
      </c>
      <c r="W21">
        <v>8.1115791469375496E-3</v>
      </c>
      <c r="X21">
        <v>8.5593884266802998E-3</v>
      </c>
      <c r="Y21">
        <v>8.4039496213739826E-3</v>
      </c>
      <c r="Z21">
        <v>8.5322311087242756E-3</v>
      </c>
      <c r="AA21">
        <v>8.738544750882175E-3</v>
      </c>
      <c r="AB21">
        <v>3.4755112106159671E-5</v>
      </c>
      <c r="AC21">
        <v>-4.5802014421133684E-4</v>
      </c>
      <c r="AD21">
        <v>-2.8126417894573826E-5</v>
      </c>
      <c r="AE21">
        <v>2.8257850570295082E-3</v>
      </c>
      <c r="AF21">
        <v>1.8868807345236681E-2</v>
      </c>
      <c r="AG21">
        <v>1.7769258453250866E-3</v>
      </c>
      <c r="AH21">
        <v>-1.0511309422409E-2</v>
      </c>
    </row>
    <row r="22" spans="1:34" x14ac:dyDescent="0.2">
      <c r="A22" t="s">
        <v>63</v>
      </c>
      <c r="B22">
        <v>4.4814643536305251E-2</v>
      </c>
      <c r="C22">
        <v>-1.1201294848247753E-3</v>
      </c>
      <c r="D22">
        <v>2.3916827055788653E-4</v>
      </c>
      <c r="E22">
        <v>-1.8055250574175344E-6</v>
      </c>
      <c r="F22">
        <v>1.6427530023333783E-3</v>
      </c>
      <c r="G22">
        <v>1.1602300072375798E-3</v>
      </c>
      <c r="H22">
        <v>-5.1738093082695304E-5</v>
      </c>
      <c r="I22">
        <v>-2.6505567544639002E-5</v>
      </c>
      <c r="J22">
        <v>-2.3721702735280542E-4</v>
      </c>
      <c r="K22">
        <v>1.4231163195223169E-3</v>
      </c>
      <c r="L22">
        <v>-1.0613829057752305E-3</v>
      </c>
      <c r="M22">
        <v>4.2688798961256109E-4</v>
      </c>
      <c r="N22">
        <v>1.2347180459704159E-3</v>
      </c>
      <c r="O22">
        <v>4.0911048381736606E-3</v>
      </c>
      <c r="P22">
        <v>-1.4207856719574349E-3</v>
      </c>
      <c r="Q22">
        <v>8.4876444549209541E-3</v>
      </c>
      <c r="R22">
        <v>1.1094008077860644E-2</v>
      </c>
      <c r="S22">
        <v>8.2495293725753111E-3</v>
      </c>
      <c r="T22">
        <v>8.5313157182222883E-3</v>
      </c>
      <c r="U22">
        <v>7.6839211716017821E-3</v>
      </c>
      <c r="V22">
        <v>8.1115791469375496E-3</v>
      </c>
      <c r="W22">
        <v>1.0756736531311355E-2</v>
      </c>
      <c r="X22">
        <v>8.7263727199244912E-3</v>
      </c>
      <c r="Y22">
        <v>8.5306322110856106E-3</v>
      </c>
      <c r="Z22">
        <v>8.6540406312121329E-3</v>
      </c>
      <c r="AA22">
        <v>8.9739555029591609E-3</v>
      </c>
      <c r="AB22">
        <v>3.4905993906154216E-5</v>
      </c>
      <c r="AC22">
        <v>-5.3361324755466216E-4</v>
      </c>
      <c r="AD22">
        <v>-4.4848674161436638E-4</v>
      </c>
      <c r="AE22">
        <v>3.1122143265927089E-3</v>
      </c>
      <c r="AF22">
        <v>1.9366959854394676E-2</v>
      </c>
      <c r="AG22">
        <v>2.4733326045847134E-3</v>
      </c>
      <c r="AH22">
        <v>-1.5203458809972654E-2</v>
      </c>
    </row>
    <row r="23" spans="1:34" x14ac:dyDescent="0.2">
      <c r="A23" t="s">
        <v>64</v>
      </c>
      <c r="B23">
        <v>0.12448439974317975</v>
      </c>
      <c r="C23">
        <v>-1.2167530673551398E-3</v>
      </c>
      <c r="D23">
        <v>1.8580140151630564E-4</v>
      </c>
      <c r="E23">
        <v>-1.5645936441537598E-6</v>
      </c>
      <c r="F23">
        <v>1.6618138205497365E-3</v>
      </c>
      <c r="G23">
        <v>1.2500570311553977E-3</v>
      </c>
      <c r="H23">
        <v>-6.6547871275548953E-5</v>
      </c>
      <c r="I23">
        <v>-3.0681303364604311E-5</v>
      </c>
      <c r="J23">
        <v>-4.134004719650794E-5</v>
      </c>
      <c r="K23">
        <v>1.2965759536112224E-3</v>
      </c>
      <c r="L23">
        <v>-8.7709621284273774E-4</v>
      </c>
      <c r="M23">
        <v>7.2513678301753919E-4</v>
      </c>
      <c r="N23">
        <v>1.1256431567068272E-3</v>
      </c>
      <c r="O23">
        <v>4.71880520951839E-3</v>
      </c>
      <c r="P23">
        <v>-1.6299775716921185E-3</v>
      </c>
      <c r="Q23">
        <v>8.9912499719344494E-3</v>
      </c>
      <c r="R23">
        <v>1.2031490949979514E-2</v>
      </c>
      <c r="S23">
        <v>8.7195192111342804E-3</v>
      </c>
      <c r="T23">
        <v>9.0796609549258153E-3</v>
      </c>
      <c r="U23">
        <v>8.0999325576045951E-3</v>
      </c>
      <c r="V23">
        <v>8.5593884266802998E-3</v>
      </c>
      <c r="W23">
        <v>8.7263727199244912E-3</v>
      </c>
      <c r="X23">
        <v>1.2582688544460714E-2</v>
      </c>
      <c r="Y23">
        <v>9.0937445826865734E-3</v>
      </c>
      <c r="Z23">
        <v>9.1860794258958739E-3</v>
      </c>
      <c r="AA23">
        <v>9.5099944799868011E-3</v>
      </c>
      <c r="AB23">
        <v>3.0082766915205455E-5</v>
      </c>
      <c r="AC23">
        <v>-6.0861918659635113E-4</v>
      </c>
      <c r="AD23">
        <v>-4.3219941928339736E-4</v>
      </c>
      <c r="AE23">
        <v>3.3791902485964852E-3</v>
      </c>
      <c r="AF23">
        <v>2.1949440093433907E-2</v>
      </c>
      <c r="AG23">
        <v>1.6420319603991543E-3</v>
      </c>
      <c r="AH23">
        <v>-1.2537249224095021E-2</v>
      </c>
    </row>
    <row r="24" spans="1:34" x14ac:dyDescent="0.2">
      <c r="A24" t="s">
        <v>65</v>
      </c>
      <c r="B24">
        <v>0.2293094856927996</v>
      </c>
      <c r="C24">
        <v>-1.1614333715447708E-3</v>
      </c>
      <c r="D24">
        <v>2.2742005357321432E-4</v>
      </c>
      <c r="E24">
        <v>-2.2392598663084477E-6</v>
      </c>
      <c r="F24">
        <v>1.7502671913798978E-3</v>
      </c>
      <c r="G24">
        <v>1.0840893212601536E-3</v>
      </c>
      <c r="H24">
        <v>-7.2590005614538925E-5</v>
      </c>
      <c r="I24">
        <v>-3.2401057453457197E-5</v>
      </c>
      <c r="J24">
        <v>3.0256220723831433E-4</v>
      </c>
      <c r="K24">
        <v>2.0974415751864976E-3</v>
      </c>
      <c r="L24">
        <v>-2.3091163573465013E-4</v>
      </c>
      <c r="M24">
        <v>1.0010173519954353E-3</v>
      </c>
      <c r="N24">
        <v>1.362299134006496E-3</v>
      </c>
      <c r="O24">
        <v>4.9570218174363589E-3</v>
      </c>
      <c r="P24">
        <v>-2.3684915857274521E-3</v>
      </c>
      <c r="Q24">
        <v>8.7842592744820421E-3</v>
      </c>
      <c r="R24">
        <v>1.1823294663066334E-2</v>
      </c>
      <c r="S24">
        <v>8.546995349838736E-3</v>
      </c>
      <c r="T24">
        <v>8.9297023710487346E-3</v>
      </c>
      <c r="U24">
        <v>7.8663495401524383E-3</v>
      </c>
      <c r="V24">
        <v>8.4039496213739826E-3</v>
      </c>
      <c r="W24">
        <v>8.5306322110856106E-3</v>
      </c>
      <c r="X24">
        <v>9.0937445826865734E-3</v>
      </c>
      <c r="Y24">
        <v>1.4266779607128419E-2</v>
      </c>
      <c r="Z24">
        <v>9.01096233728833E-3</v>
      </c>
      <c r="AA24">
        <v>9.3735944319363416E-3</v>
      </c>
      <c r="AB24">
        <v>6.7147721322252619E-5</v>
      </c>
      <c r="AC24">
        <v>-7.4690819442095688E-4</v>
      </c>
      <c r="AD24">
        <v>-2.2033927013885134E-4</v>
      </c>
      <c r="AE24">
        <v>3.1595714632937357E-3</v>
      </c>
      <c r="AF24">
        <v>2.1380737566154787E-2</v>
      </c>
      <c r="AG24">
        <v>1.2204157632128604E-3</v>
      </c>
      <c r="AH24">
        <v>-1.3123495862244171E-2</v>
      </c>
    </row>
    <row r="25" spans="1:34" x14ac:dyDescent="0.2">
      <c r="A25" t="s">
        <v>66</v>
      </c>
      <c r="B25">
        <v>0.13741935489191337</v>
      </c>
      <c r="C25">
        <v>-1.2249991792923562E-3</v>
      </c>
      <c r="D25">
        <v>1.9214793354959542E-4</v>
      </c>
      <c r="E25">
        <v>-1.6148000120130043E-6</v>
      </c>
      <c r="F25">
        <v>1.4903046442211864E-3</v>
      </c>
      <c r="G25">
        <v>1.1387451358837071E-3</v>
      </c>
      <c r="H25">
        <v>-6.9044194975464822E-5</v>
      </c>
      <c r="I25">
        <v>-2.8728158133201981E-5</v>
      </c>
      <c r="J25">
        <v>1.4507101567056736E-4</v>
      </c>
      <c r="K25">
        <v>1.289816876460053E-3</v>
      </c>
      <c r="L25">
        <v>-5.8363907789705464E-4</v>
      </c>
      <c r="M25">
        <v>6.0840625022605746E-4</v>
      </c>
      <c r="N25">
        <v>9.8301849700627338E-4</v>
      </c>
      <c r="O25">
        <v>4.4140177512378333E-3</v>
      </c>
      <c r="P25">
        <v>-1.8724375429985248E-3</v>
      </c>
      <c r="Q25">
        <v>8.9666734127294128E-3</v>
      </c>
      <c r="R25">
        <v>1.1906488608960587E-2</v>
      </c>
      <c r="S25">
        <v>8.7146935578089578E-3</v>
      </c>
      <c r="T25">
        <v>9.0523164493679052E-3</v>
      </c>
      <c r="U25">
        <v>8.0194259064245797E-3</v>
      </c>
      <c r="V25">
        <v>8.5322311087242756E-3</v>
      </c>
      <c r="W25">
        <v>8.6540406312121329E-3</v>
      </c>
      <c r="X25">
        <v>9.1860794258958739E-3</v>
      </c>
      <c r="Y25">
        <v>9.01096233728833E-3</v>
      </c>
      <c r="Z25">
        <v>1.2547895097530386E-2</v>
      </c>
      <c r="AA25">
        <v>9.336832061081872E-3</v>
      </c>
      <c r="AB25">
        <v>4.8601686065693735E-5</v>
      </c>
      <c r="AC25">
        <v>-5.0459283227512934E-4</v>
      </c>
      <c r="AD25">
        <v>-2.1723139196046671E-4</v>
      </c>
      <c r="AE25">
        <v>3.2384956945321862E-3</v>
      </c>
      <c r="AF25">
        <v>2.141195474291404E-2</v>
      </c>
      <c r="AG25">
        <v>1.9460401187529688E-3</v>
      </c>
      <c r="AH25">
        <v>-1.2842634515539495E-2</v>
      </c>
    </row>
    <row r="26" spans="1:34" x14ac:dyDescent="0.2">
      <c r="A26" t="s">
        <v>67</v>
      </c>
      <c r="B26">
        <v>9.113124820965067E-2</v>
      </c>
      <c r="C26">
        <v>-7.6383403049597003E-4</v>
      </c>
      <c r="D26">
        <v>1.0339785869942913E-4</v>
      </c>
      <c r="E26">
        <v>-1.1530581094514351E-6</v>
      </c>
      <c r="F26">
        <v>2.0919809217895286E-3</v>
      </c>
      <c r="G26">
        <v>6.2501823023430685E-4</v>
      </c>
      <c r="H26">
        <v>-8.3551933869536037E-5</v>
      </c>
      <c r="I26">
        <v>-5.1641255890111471E-5</v>
      </c>
      <c r="J26">
        <v>2.9511794419327143E-4</v>
      </c>
      <c r="K26">
        <v>9.4623897970569359E-4</v>
      </c>
      <c r="L26">
        <v>-1.4329705759947844E-3</v>
      </c>
      <c r="M26">
        <v>-1.1198313090052606E-5</v>
      </c>
      <c r="N26">
        <v>5.6322843189569871E-4</v>
      </c>
      <c r="O26">
        <v>4.1347556970880491E-3</v>
      </c>
      <c r="P26">
        <v>-1.8284355101627035E-3</v>
      </c>
      <c r="Q26">
        <v>9.1152761538063325E-3</v>
      </c>
      <c r="R26">
        <v>1.2389215922052992E-2</v>
      </c>
      <c r="S26">
        <v>8.8718148999862891E-3</v>
      </c>
      <c r="T26">
        <v>9.2788070255344305E-3</v>
      </c>
      <c r="U26">
        <v>8.1321525518787564E-3</v>
      </c>
      <c r="V26">
        <v>8.738544750882175E-3</v>
      </c>
      <c r="W26">
        <v>8.9739555029591609E-3</v>
      </c>
      <c r="X26">
        <v>9.5099944799868011E-3</v>
      </c>
      <c r="Y26">
        <v>9.3735944319363416E-3</v>
      </c>
      <c r="Z26">
        <v>9.336832061081872E-3</v>
      </c>
      <c r="AA26">
        <v>1.8429165285640349E-2</v>
      </c>
      <c r="AB26">
        <v>1.2213332277693362E-4</v>
      </c>
      <c r="AC26">
        <v>-1.2132201252129078E-3</v>
      </c>
      <c r="AD26">
        <v>-1.1286571029210466E-3</v>
      </c>
      <c r="AE26">
        <v>3.6191500832948569E-3</v>
      </c>
      <c r="AF26">
        <v>2.2839675793075276E-2</v>
      </c>
      <c r="AG26">
        <v>1.7713941572887403E-3</v>
      </c>
      <c r="AH26">
        <v>-8.7284983230286814E-3</v>
      </c>
    </row>
    <row r="27" spans="1:34" x14ac:dyDescent="0.2">
      <c r="A27" t="s">
        <v>77</v>
      </c>
      <c r="B27">
        <v>-1.6375314759421059E-2</v>
      </c>
      <c r="C27">
        <v>-4.8573611273204685E-6</v>
      </c>
      <c r="D27">
        <v>-7.6627498660202659E-6</v>
      </c>
      <c r="E27">
        <v>3.2748816361093287E-9</v>
      </c>
      <c r="F27">
        <v>3.5848400819587806E-5</v>
      </c>
      <c r="G27">
        <v>5.1210280682712145E-5</v>
      </c>
      <c r="H27">
        <v>-1.0073425169862895E-6</v>
      </c>
      <c r="I27">
        <v>1.341448928771049E-6</v>
      </c>
      <c r="J27">
        <v>6.8971472579786638E-5</v>
      </c>
      <c r="K27">
        <v>-3.7619499609088496E-5</v>
      </c>
      <c r="L27">
        <v>3.9903478823300875E-5</v>
      </c>
      <c r="M27">
        <v>-3.8332909936400397E-5</v>
      </c>
      <c r="N27">
        <v>-6.322045254284858E-5</v>
      </c>
      <c r="O27">
        <v>2.7354484483296197E-5</v>
      </c>
      <c r="P27">
        <v>-5.6782142819483466E-5</v>
      </c>
      <c r="Q27">
        <v>2.7597326924099202E-5</v>
      </c>
      <c r="R27">
        <v>1.6233642999001073E-4</v>
      </c>
      <c r="S27">
        <v>2.2288423146303452E-5</v>
      </c>
      <c r="T27">
        <v>4.3108872346140888E-5</v>
      </c>
      <c r="U27">
        <v>1.5008214711442584E-5</v>
      </c>
      <c r="V27">
        <v>3.4755112106159671E-5</v>
      </c>
      <c r="W27">
        <v>3.4905993906154216E-5</v>
      </c>
      <c r="X27">
        <v>3.0082766915205455E-5</v>
      </c>
      <c r="Y27">
        <v>6.7147721322252619E-5</v>
      </c>
      <c r="Z27">
        <v>4.8601686065693735E-5</v>
      </c>
      <c r="AA27">
        <v>1.2213332277693362E-4</v>
      </c>
      <c r="AB27">
        <v>3.6175584646658734E-5</v>
      </c>
      <c r="AC27">
        <v>-1.4737211756652785E-4</v>
      </c>
      <c r="AD27">
        <v>-1.7098155680536634E-4</v>
      </c>
      <c r="AE27">
        <v>-3.620247333635079E-5</v>
      </c>
      <c r="AF27">
        <v>5.8805082859496316E-4</v>
      </c>
      <c r="AG27">
        <v>-8.7350637835837396E-6</v>
      </c>
      <c r="AH27">
        <v>-2.122885250034933E-4</v>
      </c>
    </row>
    <row r="28" spans="1:34" x14ac:dyDescent="0.2">
      <c r="A28" t="s">
        <v>68</v>
      </c>
      <c r="B28">
        <v>-0.1052951030089934</v>
      </c>
      <c r="C28">
        <v>1.6564790831333394E-4</v>
      </c>
      <c r="D28">
        <v>-6.2915257272328634E-5</v>
      </c>
      <c r="E28">
        <v>5.9240493379726514E-7</v>
      </c>
      <c r="F28">
        <v>-1.8710326232145697E-4</v>
      </c>
      <c r="G28">
        <v>-7.4405674213434475E-5</v>
      </c>
      <c r="H28">
        <v>1.3133144856997245E-5</v>
      </c>
      <c r="I28">
        <v>3.7435135247499801E-6</v>
      </c>
      <c r="J28">
        <v>2.0365020453267171E-5</v>
      </c>
      <c r="K28">
        <v>2.425105784918842E-4</v>
      </c>
      <c r="L28">
        <v>-1.3441061572493041E-4</v>
      </c>
      <c r="M28">
        <v>3.9491453755743401E-4</v>
      </c>
      <c r="N28">
        <v>4.9785346587575066E-4</v>
      </c>
      <c r="O28">
        <v>-2.0327894263164753E-4</v>
      </c>
      <c r="P28">
        <v>5.6465180211935032E-4</v>
      </c>
      <c r="Q28">
        <v>-5.9094316174897838E-4</v>
      </c>
      <c r="R28">
        <v>-1.522242615115345E-3</v>
      </c>
      <c r="S28">
        <v>-3.4140819334361767E-4</v>
      </c>
      <c r="T28">
        <v>-6.3878496559814039E-4</v>
      </c>
      <c r="U28">
        <v>-6.9585107433313594E-5</v>
      </c>
      <c r="V28">
        <v>-4.5802014421133684E-4</v>
      </c>
      <c r="W28">
        <v>-5.3361324755466216E-4</v>
      </c>
      <c r="X28">
        <v>-6.0861918659635113E-4</v>
      </c>
      <c r="Y28">
        <v>-7.4690819442095688E-4</v>
      </c>
      <c r="Z28">
        <v>-5.0459283227512934E-4</v>
      </c>
      <c r="AA28">
        <v>-1.2132201252129078E-3</v>
      </c>
      <c r="AB28">
        <v>-1.4737211756652785E-4</v>
      </c>
      <c r="AC28">
        <v>5.9920471835851995E-3</v>
      </c>
      <c r="AD28">
        <v>1.1504325337428779E-3</v>
      </c>
      <c r="AE28">
        <v>5.745267140447083E-5</v>
      </c>
      <c r="AF28">
        <v>-4.5750805548109424E-3</v>
      </c>
      <c r="AG28">
        <v>-4.7263477844284653E-5</v>
      </c>
      <c r="AH28">
        <v>3.2139889691205669E-3</v>
      </c>
    </row>
    <row r="29" spans="1:34" x14ac:dyDescent="0.2">
      <c r="A29" t="s">
        <v>69</v>
      </c>
      <c r="B29">
        <v>-2.6689484910023837E-2</v>
      </c>
      <c r="C29">
        <v>2.0477687701145266E-4</v>
      </c>
      <c r="D29">
        <v>-8.3291934343046603E-6</v>
      </c>
      <c r="E29">
        <v>2.3104758815428814E-8</v>
      </c>
      <c r="F29">
        <v>-1.1999236476008452E-4</v>
      </c>
      <c r="G29">
        <v>2.0963647012249478E-4</v>
      </c>
      <c r="H29">
        <v>1.3482190978086173E-5</v>
      </c>
      <c r="I29">
        <v>9.2191196015677795E-7</v>
      </c>
      <c r="J29">
        <v>4.645467348695833E-4</v>
      </c>
      <c r="K29">
        <v>4.8964008701457909E-4</v>
      </c>
      <c r="L29">
        <v>4.5915408693277676E-5</v>
      </c>
      <c r="M29">
        <v>5.4097880569752791E-4</v>
      </c>
      <c r="N29">
        <v>6.9399055150901404E-4</v>
      </c>
      <c r="O29">
        <v>-4.3574259696491091E-5</v>
      </c>
      <c r="P29">
        <v>5.1581357157254488E-4</v>
      </c>
      <c r="Q29">
        <v>-1.330654733918404E-4</v>
      </c>
      <c r="R29">
        <v>-1.2373644160117835E-3</v>
      </c>
      <c r="S29">
        <v>1.7778054945115536E-4</v>
      </c>
      <c r="T29">
        <v>-6.0311079026196786E-4</v>
      </c>
      <c r="U29">
        <v>-1.8372963733182066E-4</v>
      </c>
      <c r="V29">
        <v>-2.8126417894573826E-5</v>
      </c>
      <c r="W29">
        <v>-4.4848674161436638E-4</v>
      </c>
      <c r="X29">
        <v>-4.3219941928339736E-4</v>
      </c>
      <c r="Y29">
        <v>-2.2033927013885134E-4</v>
      </c>
      <c r="Z29">
        <v>-2.1723139196046671E-4</v>
      </c>
      <c r="AA29">
        <v>-1.1286571029210466E-3</v>
      </c>
      <c r="AB29">
        <v>-1.7098155680536634E-4</v>
      </c>
      <c r="AC29">
        <v>1.1504325337428779E-3</v>
      </c>
      <c r="AD29">
        <v>5.8288669722099187E-3</v>
      </c>
      <c r="AE29">
        <v>-6.7399075294537853E-5</v>
      </c>
      <c r="AF29">
        <v>-4.6124187742254477E-3</v>
      </c>
      <c r="AG29">
        <v>1.5067442613239432E-4</v>
      </c>
      <c r="AH29">
        <v>1.7901144137356453E-3</v>
      </c>
    </row>
    <row r="30" spans="1:34" x14ac:dyDescent="0.2">
      <c r="A30" t="s">
        <v>70</v>
      </c>
      <c r="B30">
        <v>-0.16404981170361674</v>
      </c>
      <c r="C30">
        <v>-2.0770196617954243E-4</v>
      </c>
      <c r="D30">
        <v>-2.2987420629791422E-4</v>
      </c>
      <c r="E30">
        <v>2.0589366338626049E-6</v>
      </c>
      <c r="F30">
        <v>6.2365683926954925E-4</v>
      </c>
      <c r="G30">
        <v>1.0525128930708783E-4</v>
      </c>
      <c r="H30">
        <v>-2.0425349189083405E-5</v>
      </c>
      <c r="I30">
        <v>-1.8325109982247564E-5</v>
      </c>
      <c r="J30">
        <v>-1.0236073386521785E-4</v>
      </c>
      <c r="K30">
        <v>-2.2052215545302796E-4</v>
      </c>
      <c r="L30">
        <v>-5.3505122811268449E-4</v>
      </c>
      <c r="M30">
        <v>7.0063799912934918E-5</v>
      </c>
      <c r="N30">
        <v>2.6871663783613244E-4</v>
      </c>
      <c r="O30">
        <v>1.2673440062318762E-3</v>
      </c>
      <c r="P30">
        <v>-1.0233236484238862E-4</v>
      </c>
      <c r="Q30">
        <v>3.2543053553938822E-3</v>
      </c>
      <c r="R30">
        <v>3.8934851761684352E-3</v>
      </c>
      <c r="S30">
        <v>3.179388566618575E-3</v>
      </c>
      <c r="T30">
        <v>3.0237732805300432E-3</v>
      </c>
      <c r="U30">
        <v>2.4432313578488505E-3</v>
      </c>
      <c r="V30">
        <v>2.8257850570295082E-3</v>
      </c>
      <c r="W30">
        <v>3.1122143265927089E-3</v>
      </c>
      <c r="X30">
        <v>3.3791902485964852E-3</v>
      </c>
      <c r="Y30">
        <v>3.1595714632937357E-3</v>
      </c>
      <c r="Z30">
        <v>3.2384956945321862E-3</v>
      </c>
      <c r="AA30">
        <v>3.6191500832948569E-3</v>
      </c>
      <c r="AB30">
        <v>-3.620247333635079E-5</v>
      </c>
      <c r="AC30">
        <v>5.745267140447083E-5</v>
      </c>
      <c r="AD30">
        <v>-6.7399075294537853E-5</v>
      </c>
      <c r="AE30">
        <v>9.73639231745968E-3</v>
      </c>
      <c r="AF30">
        <v>7.3122784514325495E-3</v>
      </c>
      <c r="AG30">
        <v>9.1591828632587506E-4</v>
      </c>
      <c r="AH30">
        <v>4.9615023110577122E-3</v>
      </c>
    </row>
    <row r="31" spans="1:34" x14ac:dyDescent="0.2">
      <c r="A31" t="s">
        <v>71</v>
      </c>
      <c r="B31">
        <v>0.15490014479434369</v>
      </c>
      <c r="C31">
        <v>-4.2528204499786039E-3</v>
      </c>
      <c r="D31">
        <v>8.9560178830605519E-5</v>
      </c>
      <c r="E31">
        <v>-1.616362332871029E-6</v>
      </c>
      <c r="F31">
        <v>7.6051332064854694E-3</v>
      </c>
      <c r="G31">
        <v>6.8419731188036279E-3</v>
      </c>
      <c r="H31">
        <v>-2.7453029369290424E-4</v>
      </c>
      <c r="I31">
        <v>-4.1991523566367898E-5</v>
      </c>
      <c r="J31">
        <v>-8.7972050124497658E-4</v>
      </c>
      <c r="K31">
        <v>-8.5812201510315766E-4</v>
      </c>
      <c r="L31">
        <v>-1.920108174969952E-3</v>
      </c>
      <c r="M31">
        <v>-1.0449402298654681E-3</v>
      </c>
      <c r="N31">
        <v>-7.280852468784238E-4</v>
      </c>
      <c r="O31">
        <v>1.5763465662252951E-2</v>
      </c>
      <c r="P31">
        <v>-6.0385697317993231E-3</v>
      </c>
      <c r="Q31">
        <v>2.0985920751230513E-2</v>
      </c>
      <c r="R31">
        <v>3.7532000438459528E-2</v>
      </c>
      <c r="S31">
        <v>1.9783038964295299E-2</v>
      </c>
      <c r="T31">
        <v>2.0772277039572795E-2</v>
      </c>
      <c r="U31">
        <v>1.6749424720029788E-2</v>
      </c>
      <c r="V31">
        <v>1.8868807345236681E-2</v>
      </c>
      <c r="W31">
        <v>1.9366959854394676E-2</v>
      </c>
      <c r="X31">
        <v>2.1949440093433907E-2</v>
      </c>
      <c r="Y31">
        <v>2.1380737566154787E-2</v>
      </c>
      <c r="Z31">
        <v>2.141195474291404E-2</v>
      </c>
      <c r="AA31">
        <v>2.2839675793075276E-2</v>
      </c>
      <c r="AB31">
        <v>5.8805082859496316E-4</v>
      </c>
      <c r="AC31">
        <v>-4.5750805548109424E-3</v>
      </c>
      <c r="AD31">
        <v>-4.6124187742254477E-3</v>
      </c>
      <c r="AE31">
        <v>7.3122784514325495E-3</v>
      </c>
      <c r="AF31">
        <v>0.10324901738318812</v>
      </c>
      <c r="AG31">
        <v>3.1250014205897654E-3</v>
      </c>
      <c r="AH31">
        <v>-2.060231482171955E-2</v>
      </c>
    </row>
    <row r="32" spans="1:34" x14ac:dyDescent="0.2">
      <c r="A32" t="s">
        <v>72</v>
      </c>
      <c r="B32">
        <v>4.8205239389574286E-2</v>
      </c>
      <c r="C32">
        <v>-4.7613401370413984E-4</v>
      </c>
      <c r="D32">
        <v>-3.2768084042065945E-5</v>
      </c>
      <c r="E32">
        <v>1.6358384404463319E-7</v>
      </c>
      <c r="F32">
        <v>3.8684777698520909E-4</v>
      </c>
      <c r="G32">
        <v>5.2570244195466618E-4</v>
      </c>
      <c r="H32">
        <v>-1.1501145960016873E-5</v>
      </c>
      <c r="I32">
        <v>-2.2058161436405055E-6</v>
      </c>
      <c r="J32">
        <v>5.3942006835001194E-4</v>
      </c>
      <c r="K32">
        <v>2.8076574634784143E-4</v>
      </c>
      <c r="L32">
        <v>-9.6384816120811435E-4</v>
      </c>
      <c r="M32">
        <v>-6.7502637613636664E-4</v>
      </c>
      <c r="N32">
        <v>-3.9519406770707364E-4</v>
      </c>
      <c r="O32">
        <v>1.392365592525401E-4</v>
      </c>
      <c r="P32">
        <v>-3.6435477695407822E-4</v>
      </c>
      <c r="Q32">
        <v>1.923505930538397E-3</v>
      </c>
      <c r="R32">
        <v>2.0953449363210735E-3</v>
      </c>
      <c r="S32">
        <v>1.8357515653340852E-3</v>
      </c>
      <c r="T32">
        <v>2.0354251848845708E-3</v>
      </c>
      <c r="U32">
        <v>1.3971580225515111E-3</v>
      </c>
      <c r="V32">
        <v>1.7769258453250866E-3</v>
      </c>
      <c r="W32">
        <v>2.4733326045847134E-3</v>
      </c>
      <c r="X32">
        <v>1.6420319603991543E-3</v>
      </c>
      <c r="Y32">
        <v>1.2204157632128604E-3</v>
      </c>
      <c r="Z32">
        <v>1.9460401187529688E-3</v>
      </c>
      <c r="AA32">
        <v>1.7713941572887403E-3</v>
      </c>
      <c r="AB32">
        <v>-8.7350637835837396E-6</v>
      </c>
      <c r="AC32">
        <v>-4.7263477844284653E-5</v>
      </c>
      <c r="AD32">
        <v>1.5067442613239432E-4</v>
      </c>
      <c r="AE32">
        <v>9.1591828632587506E-4</v>
      </c>
      <c r="AF32">
        <v>3.1250014205897654E-3</v>
      </c>
      <c r="AG32">
        <v>1.7588570108926321E-2</v>
      </c>
      <c r="AH32">
        <v>-3.3805314656840818E-5</v>
      </c>
    </row>
    <row r="33" spans="1:34" x14ac:dyDescent="0.2">
      <c r="A33" t="s">
        <v>29</v>
      </c>
      <c r="B33">
        <v>-19.839038298331985</v>
      </c>
      <c r="C33">
        <v>5.2508962944459517E-3</v>
      </c>
      <c r="D33">
        <v>-5.7821831566868792E-2</v>
      </c>
      <c r="E33">
        <v>4.481165238095768E-4</v>
      </c>
      <c r="F33">
        <v>-1.819257928147436E-3</v>
      </c>
      <c r="G33">
        <v>-1.9271281527377549E-3</v>
      </c>
      <c r="H33">
        <v>-1.4289522462295205E-4</v>
      </c>
      <c r="I33">
        <v>-1.9698256871113987E-4</v>
      </c>
      <c r="J33">
        <v>9.4577726647311899E-3</v>
      </c>
      <c r="K33">
        <v>-3.412094008345555E-2</v>
      </c>
      <c r="L33">
        <v>-1.0667054868792623E-2</v>
      </c>
      <c r="M33">
        <v>-1.8937269770477341E-2</v>
      </c>
      <c r="N33">
        <v>-2.0667478881348733E-2</v>
      </c>
      <c r="O33">
        <v>-2.7016199687477531E-2</v>
      </c>
      <c r="P33">
        <v>7.6964253134643376E-3</v>
      </c>
      <c r="Q33">
        <v>-1.3568023619253699E-2</v>
      </c>
      <c r="R33">
        <v>-1.6097737061240205E-2</v>
      </c>
      <c r="S33">
        <v>-8.7718687944399049E-3</v>
      </c>
      <c r="T33">
        <v>-9.1502308541321978E-3</v>
      </c>
      <c r="U33">
        <v>-1.2308891839938624E-2</v>
      </c>
      <c r="V33">
        <v>-1.0511309422409E-2</v>
      </c>
      <c r="W33">
        <v>-1.5203458809972654E-2</v>
      </c>
      <c r="X33">
        <v>-1.2537249224095021E-2</v>
      </c>
      <c r="Y33">
        <v>-1.3123495862244171E-2</v>
      </c>
      <c r="Z33">
        <v>-1.2842634515539495E-2</v>
      </c>
      <c r="AA33">
        <v>-8.7284983230286814E-3</v>
      </c>
      <c r="AB33">
        <v>-2.122885250034933E-4</v>
      </c>
      <c r="AC33">
        <v>3.2139889691205669E-3</v>
      </c>
      <c r="AD33">
        <v>1.7901144137356453E-3</v>
      </c>
      <c r="AE33">
        <v>4.9615023110577122E-3</v>
      </c>
      <c r="AF33">
        <v>-2.060231482171955E-2</v>
      </c>
      <c r="AG33">
        <v>-3.3805314656840818E-5</v>
      </c>
      <c r="AH33">
        <v>1.89851417860989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36"/>
  <sheetViews>
    <sheetView workbookViewId="0">
      <selection activeCell="A32" sqref="A32"/>
    </sheetView>
  </sheetViews>
  <sheetFormatPr baseColWidth="10" defaultColWidth="8.83203125" defaultRowHeight="15" x14ac:dyDescent="0.2"/>
  <cols>
    <col min="1" max="1" width="32.6640625" customWidth="1"/>
  </cols>
  <sheetData>
    <row r="1" spans="1:37" x14ac:dyDescent="0.2">
      <c r="A1" t="s">
        <v>10</v>
      </c>
      <c r="B1" t="s">
        <v>11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73</v>
      </c>
      <c r="L1" t="s">
        <v>51</v>
      </c>
      <c r="M1" t="s">
        <v>75</v>
      </c>
      <c r="N1" t="s">
        <v>74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77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29</v>
      </c>
    </row>
    <row r="2" spans="1:37" x14ac:dyDescent="0.2">
      <c r="A2" t="s">
        <v>43</v>
      </c>
      <c r="B2">
        <v>-1.901373101032966E-2</v>
      </c>
      <c r="C2">
        <v>5.7855367606914E-4</v>
      </c>
      <c r="D2">
        <v>1.026895326093241E-4</v>
      </c>
      <c r="E2">
        <v>-1.008146329340194E-6</v>
      </c>
      <c r="F2">
        <v>4.4002034543270062E-6</v>
      </c>
      <c r="G2">
        <v>-5.0608919815431992E-5</v>
      </c>
      <c r="H2">
        <v>1.3940964237422162E-7</v>
      </c>
      <c r="I2">
        <v>-2.4075719510340957E-6</v>
      </c>
      <c r="J2">
        <v>2.2797563171173625E-4</v>
      </c>
      <c r="K2">
        <v>-3.6127163150396867E-5</v>
      </c>
      <c r="L2">
        <v>2.1268532048657863E-4</v>
      </c>
      <c r="M2">
        <v>-3.3476014094011131E-5</v>
      </c>
      <c r="N2">
        <v>6.6372572271286207E-5</v>
      </c>
      <c r="O2">
        <v>1.500312242889139E-4</v>
      </c>
      <c r="P2">
        <v>1.627438276777367E-4</v>
      </c>
      <c r="Q2">
        <v>1.180764192182775E-4</v>
      </c>
      <c r="R2">
        <v>1.2099409863297917E-4</v>
      </c>
      <c r="S2">
        <v>-7.8999607762904152E-5</v>
      </c>
      <c r="T2">
        <v>-1.4076749368187677E-4</v>
      </c>
      <c r="U2">
        <v>-1.3668876581117103E-4</v>
      </c>
      <c r="V2">
        <v>-1.2714384213254845E-4</v>
      </c>
      <c r="W2">
        <v>-1.4837370158889449E-4</v>
      </c>
      <c r="X2">
        <v>-1.3961418687945167E-4</v>
      </c>
      <c r="Y2">
        <v>-7.9415749256403012E-5</v>
      </c>
      <c r="Z2">
        <v>-9.1012630208759813E-5</v>
      </c>
      <c r="AA2">
        <v>-1.061572727405456E-4</v>
      </c>
      <c r="AB2">
        <v>-1.0874415870808501E-4</v>
      </c>
      <c r="AC2">
        <v>-1.3981323985725583E-4</v>
      </c>
      <c r="AD2">
        <v>-1.4487646141360237E-4</v>
      </c>
      <c r="AE2">
        <v>1.0162128338978078E-5</v>
      </c>
      <c r="AF2">
        <v>-2.3453540408400979E-5</v>
      </c>
      <c r="AG2">
        <v>-2.7265291777788837E-5</v>
      </c>
      <c r="AH2">
        <v>-1.6849243727414356E-4</v>
      </c>
      <c r="AI2">
        <v>-1.1026528545187288E-4</v>
      </c>
      <c r="AJ2">
        <v>-1.0897269162518674E-4</v>
      </c>
      <c r="AK2">
        <v>-2.9490861002779076E-3</v>
      </c>
    </row>
    <row r="3" spans="1:37" x14ac:dyDescent="0.2">
      <c r="A3" t="s">
        <v>44</v>
      </c>
      <c r="B3">
        <v>0.82256252466445767</v>
      </c>
      <c r="C3">
        <v>1.026895326093241E-4</v>
      </c>
      <c r="D3">
        <v>1.567527050769952E-3</v>
      </c>
      <c r="E3">
        <v>-1.2652534672863299E-5</v>
      </c>
      <c r="F3">
        <v>-9.9640347001503718E-5</v>
      </c>
      <c r="G3">
        <v>-2.6161215203085106E-4</v>
      </c>
      <c r="H3">
        <v>3.2838898665401846E-7</v>
      </c>
      <c r="I3">
        <v>-1.4848909779281022E-8</v>
      </c>
      <c r="J3">
        <v>1.5074428807907814E-4</v>
      </c>
      <c r="K3">
        <v>4.2847209230343361E-4</v>
      </c>
      <c r="L3">
        <v>1.749432507736075E-4</v>
      </c>
      <c r="M3">
        <v>8.7917412043719313E-6</v>
      </c>
      <c r="N3">
        <v>1.5198222483276552E-5</v>
      </c>
      <c r="O3">
        <v>8.1774750084958724E-5</v>
      </c>
      <c r="P3">
        <v>3.19103611081447E-6</v>
      </c>
      <c r="Q3">
        <v>-1.5415253388564344E-4</v>
      </c>
      <c r="R3">
        <v>-8.774625564149114E-5</v>
      </c>
      <c r="S3">
        <v>-2.3405325425010504E-4</v>
      </c>
      <c r="T3">
        <v>-1.3800979010805334E-4</v>
      </c>
      <c r="U3">
        <v>-1.2911175610285687E-4</v>
      </c>
      <c r="V3">
        <v>-1.3068892299153076E-4</v>
      </c>
      <c r="W3">
        <v>-4.0177895602702901E-4</v>
      </c>
      <c r="X3">
        <v>-1.8408553891208559E-4</v>
      </c>
      <c r="Y3">
        <v>-2.1915515324403417E-4</v>
      </c>
      <c r="Z3">
        <v>-1.7850416467435695E-4</v>
      </c>
      <c r="AA3">
        <v>-1.997532489986277E-4</v>
      </c>
      <c r="AB3">
        <v>-1.7735663802575727E-4</v>
      </c>
      <c r="AC3">
        <v>-1.9137172784688961E-4</v>
      </c>
      <c r="AD3">
        <v>-1.5108562566046313E-4</v>
      </c>
      <c r="AE3">
        <v>7.8490127596204939E-8</v>
      </c>
      <c r="AF3">
        <v>2.2837210076902432E-5</v>
      </c>
      <c r="AG3">
        <v>8.0655170984315471E-5</v>
      </c>
      <c r="AH3">
        <v>-8.3373485751388893E-4</v>
      </c>
      <c r="AI3">
        <v>-2.7024915224356863E-4</v>
      </c>
      <c r="AJ3">
        <v>-5.6989290483304422E-5</v>
      </c>
      <c r="AK3">
        <v>-4.7990293762680519E-2</v>
      </c>
    </row>
    <row r="4" spans="1:37" x14ac:dyDescent="0.2">
      <c r="A4" t="s">
        <v>45</v>
      </c>
      <c r="B4">
        <v>-6.2310959546821266E-3</v>
      </c>
      <c r="C4">
        <v>-1.008146329340194E-6</v>
      </c>
      <c r="D4">
        <v>-1.2652534672863299E-5</v>
      </c>
      <c r="E4">
        <v>1.0296347393529226E-7</v>
      </c>
      <c r="F4">
        <v>7.9244808553391628E-7</v>
      </c>
      <c r="G4">
        <v>2.0195718685215132E-6</v>
      </c>
      <c r="H4">
        <v>-2.9199975623346037E-9</v>
      </c>
      <c r="I4">
        <v>-4.0179976731923974E-9</v>
      </c>
      <c r="J4">
        <v>-1.9349634452060479E-6</v>
      </c>
      <c r="K4">
        <v>-3.639717442113358E-6</v>
      </c>
      <c r="L4">
        <v>-1.4506675460955997E-6</v>
      </c>
      <c r="M4">
        <v>-6.6156625567757705E-8</v>
      </c>
      <c r="N4">
        <v>-3.8191845753683173E-7</v>
      </c>
      <c r="O4">
        <v>-7.5542472612553506E-7</v>
      </c>
      <c r="P4">
        <v>-1.2266057893849688E-7</v>
      </c>
      <c r="Q4">
        <v>1.138755200057927E-6</v>
      </c>
      <c r="R4">
        <v>6.7278402651665877E-7</v>
      </c>
      <c r="S4">
        <v>1.9240756818824229E-6</v>
      </c>
      <c r="T4">
        <v>1.2042883777092285E-6</v>
      </c>
      <c r="U4">
        <v>1.0868317942213334E-6</v>
      </c>
      <c r="V4">
        <v>1.0945138266390468E-6</v>
      </c>
      <c r="W4">
        <v>3.0954933934382882E-6</v>
      </c>
      <c r="X4">
        <v>1.5634587434315458E-6</v>
      </c>
      <c r="Y4">
        <v>1.7206505232030445E-6</v>
      </c>
      <c r="Z4">
        <v>1.4212110718511987E-6</v>
      </c>
      <c r="AA4">
        <v>1.6106581665929558E-6</v>
      </c>
      <c r="AB4">
        <v>1.46227999574906E-6</v>
      </c>
      <c r="AC4">
        <v>1.5439466580096674E-6</v>
      </c>
      <c r="AD4">
        <v>1.254863071481645E-6</v>
      </c>
      <c r="AE4">
        <v>-3.2511178059864692E-8</v>
      </c>
      <c r="AF4">
        <v>-1.3026563646434655E-7</v>
      </c>
      <c r="AG4">
        <v>-5.8967962369185474E-7</v>
      </c>
      <c r="AH4">
        <v>6.2912148195398807E-6</v>
      </c>
      <c r="AI4">
        <v>2.2156793995731314E-6</v>
      </c>
      <c r="AJ4">
        <v>3.6316603936619894E-7</v>
      </c>
      <c r="AK4">
        <v>3.8546273381666102E-4</v>
      </c>
    </row>
    <row r="5" spans="1:37" x14ac:dyDescent="0.2">
      <c r="A5" t="s">
        <v>46</v>
      </c>
      <c r="B5">
        <v>-7.1962484270412491E-2</v>
      </c>
      <c r="C5">
        <v>4.4002034543270062E-6</v>
      </c>
      <c r="D5">
        <v>-9.9640347001503718E-5</v>
      </c>
      <c r="E5">
        <v>7.9244808553391628E-7</v>
      </c>
      <c r="F5">
        <v>7.3945051175888993E-4</v>
      </c>
      <c r="G5">
        <v>5.5453980861260509E-4</v>
      </c>
      <c r="H5">
        <v>2.5418958212364867E-6</v>
      </c>
      <c r="I5">
        <v>-4.3169787681653082E-7</v>
      </c>
      <c r="J5">
        <v>1.8527315345421448E-5</v>
      </c>
      <c r="K5">
        <v>-2.3169127920993694E-5</v>
      </c>
      <c r="L5">
        <v>6.6535026404867536E-6</v>
      </c>
      <c r="M5">
        <v>5.7165279475065315E-5</v>
      </c>
      <c r="N5">
        <v>1.6099549837480738E-5</v>
      </c>
      <c r="O5">
        <v>-4.7352021801317211E-6</v>
      </c>
      <c r="P5">
        <v>-1.3357144647109284E-5</v>
      </c>
      <c r="Q5">
        <v>1.2412674466991445E-4</v>
      </c>
      <c r="R5">
        <v>2.022333836954617E-4</v>
      </c>
      <c r="S5">
        <v>3.2375781224369877E-5</v>
      </c>
      <c r="T5">
        <v>8.4834912260119003E-6</v>
      </c>
      <c r="U5">
        <v>6.4646445108757866E-5</v>
      </c>
      <c r="V5">
        <v>6.6278471360875534E-5</v>
      </c>
      <c r="W5">
        <v>1.18374498966749E-4</v>
      </c>
      <c r="X5">
        <v>-3.4349306495866385E-5</v>
      </c>
      <c r="Y5">
        <v>4.1107701361967769E-5</v>
      </c>
      <c r="Z5">
        <v>6.5102817090578182E-5</v>
      </c>
      <c r="AA5">
        <v>7.7103620104843258E-5</v>
      </c>
      <c r="AB5">
        <v>7.673299550181283E-5</v>
      </c>
      <c r="AC5">
        <v>4.7783851454128991E-5</v>
      </c>
      <c r="AD5">
        <v>4.7056397075119169E-5</v>
      </c>
      <c r="AE5">
        <v>-1.3665483927623599E-6</v>
      </c>
      <c r="AF5">
        <v>4.5176933080205687E-5</v>
      </c>
      <c r="AG5">
        <v>1.5171779295661724E-5</v>
      </c>
      <c r="AH5">
        <v>4.2789019717566653E-4</v>
      </c>
      <c r="AI5">
        <v>2.3798470834860607E-4</v>
      </c>
      <c r="AJ5">
        <v>-1.0550372288871567E-4</v>
      </c>
      <c r="AK5">
        <v>2.3108054479232692E-3</v>
      </c>
    </row>
    <row r="6" spans="1:37" x14ac:dyDescent="0.2">
      <c r="A6" t="s">
        <v>47</v>
      </c>
      <c r="B6">
        <v>-0.18756033825249671</v>
      </c>
      <c r="C6">
        <v>-5.0608919815431992E-5</v>
      </c>
      <c r="D6">
        <v>-2.6161215203085106E-4</v>
      </c>
      <c r="E6">
        <v>2.0195718685215132E-6</v>
      </c>
      <c r="F6">
        <v>5.5453980861260509E-4</v>
      </c>
      <c r="G6">
        <v>1.2771311909719975E-3</v>
      </c>
      <c r="H6">
        <v>4.9565205230097713E-6</v>
      </c>
      <c r="I6">
        <v>1.2443653186704699E-6</v>
      </c>
      <c r="J6">
        <v>1.2397300677142411E-5</v>
      </c>
      <c r="K6">
        <v>-3.5334043642090387E-5</v>
      </c>
      <c r="L6">
        <v>-8.5324782116523413E-5</v>
      </c>
      <c r="M6">
        <v>7.8299540956606065E-5</v>
      </c>
      <c r="N6">
        <v>2.167004172672284E-5</v>
      </c>
      <c r="O6">
        <v>1.2508816418774191E-4</v>
      </c>
      <c r="P6">
        <v>2.032127963917542E-4</v>
      </c>
      <c r="Q6">
        <v>4.7151846429400437E-4</v>
      </c>
      <c r="R6">
        <v>5.452979941012728E-4</v>
      </c>
      <c r="S6">
        <v>4.1922976390655809E-5</v>
      </c>
      <c r="T6">
        <v>-2.0190861864260307E-5</v>
      </c>
      <c r="U6">
        <v>6.3468463752193287E-5</v>
      </c>
      <c r="V6">
        <v>2.8008209233265473E-5</v>
      </c>
      <c r="W6">
        <v>2.6445483340923866E-4</v>
      </c>
      <c r="X6">
        <v>-3.6329161594594081E-5</v>
      </c>
      <c r="Y6">
        <v>3.011028794305435E-5</v>
      </c>
      <c r="Z6">
        <v>6.2594767561201248E-5</v>
      </c>
      <c r="AA6">
        <v>1.2476559147287685E-4</v>
      </c>
      <c r="AB6">
        <v>5.6895061844752467E-5</v>
      </c>
      <c r="AC6">
        <v>8.2262188763483949E-5</v>
      </c>
      <c r="AD6">
        <v>2.2916174841617416E-5</v>
      </c>
      <c r="AE6">
        <v>1.5195564765366641E-5</v>
      </c>
      <c r="AF6">
        <v>1.5078396633681066E-5</v>
      </c>
      <c r="AG6">
        <v>-5.2653986414924316E-5</v>
      </c>
      <c r="AH6">
        <v>9.2952403707881239E-4</v>
      </c>
      <c r="AI6">
        <v>2.5544460762169348E-4</v>
      </c>
      <c r="AJ6">
        <v>-4.6184744436537808E-5</v>
      </c>
      <c r="AK6">
        <v>6.7893510814081952E-3</v>
      </c>
    </row>
    <row r="7" spans="1:37" x14ac:dyDescent="0.2">
      <c r="A7" t="s">
        <v>48</v>
      </c>
      <c r="B7">
        <v>-3.6417009746713357E-4</v>
      </c>
      <c r="C7">
        <v>1.3940964237422162E-7</v>
      </c>
      <c r="D7">
        <v>3.2838898665401846E-7</v>
      </c>
      <c r="E7">
        <v>-2.9199975623346037E-9</v>
      </c>
      <c r="F7">
        <v>2.5418958212364867E-6</v>
      </c>
      <c r="G7">
        <v>4.9565205230097713E-6</v>
      </c>
      <c r="H7">
        <v>1.5725693770662504E-6</v>
      </c>
      <c r="I7">
        <v>1.0634739702069093E-7</v>
      </c>
      <c r="J7">
        <v>2.7208257071696722E-7</v>
      </c>
      <c r="K7">
        <v>-2.5142369465606676E-6</v>
      </c>
      <c r="L7">
        <v>5.9161855622901538E-6</v>
      </c>
      <c r="M7">
        <v>-2.0336531362796326E-6</v>
      </c>
      <c r="N7">
        <v>1.2341773283920544E-6</v>
      </c>
      <c r="O7">
        <v>1.34008376161417E-6</v>
      </c>
      <c r="P7">
        <v>2.5667475584841711E-6</v>
      </c>
      <c r="Q7">
        <v>3.1330688131292449E-6</v>
      </c>
      <c r="R7">
        <v>-1.0842198061939254E-6</v>
      </c>
      <c r="S7">
        <v>2.2168626291516049E-5</v>
      </c>
      <c r="T7">
        <v>4.2094297733758499E-6</v>
      </c>
      <c r="U7">
        <v>2.5762402972119962E-6</v>
      </c>
      <c r="V7">
        <v>1.6621315743166329E-6</v>
      </c>
      <c r="W7">
        <v>6.2493865846285919E-6</v>
      </c>
      <c r="X7">
        <v>1.6992154877552626E-6</v>
      </c>
      <c r="Y7">
        <v>3.2024434566479227E-7</v>
      </c>
      <c r="Z7">
        <v>-2.864511432750579E-7</v>
      </c>
      <c r="AA7">
        <v>6.8239239650322097E-7</v>
      </c>
      <c r="AB7">
        <v>9.8633617700483363E-7</v>
      </c>
      <c r="AC7">
        <v>3.3446114646777333E-7</v>
      </c>
      <c r="AD7">
        <v>-2.3231426097495688E-7</v>
      </c>
      <c r="AE7">
        <v>4.9097869274816836E-7</v>
      </c>
      <c r="AF7">
        <v>-4.9007674781459265E-7</v>
      </c>
      <c r="AG7">
        <v>-1.0194135377096504E-6</v>
      </c>
      <c r="AH7">
        <v>1.8140153537579785E-5</v>
      </c>
      <c r="AI7">
        <v>-1.4376216278117864E-6</v>
      </c>
      <c r="AJ7">
        <v>-3.1762043045340701E-6</v>
      </c>
      <c r="AK7">
        <v>-1.0677581451937798E-4</v>
      </c>
    </row>
    <row r="8" spans="1:37" x14ac:dyDescent="0.2">
      <c r="A8" t="s">
        <v>49</v>
      </c>
      <c r="B8">
        <v>5.4314256151540279E-4</v>
      </c>
      <c r="C8">
        <v>-2.4075719510340957E-6</v>
      </c>
      <c r="D8">
        <v>-1.4848909779281022E-8</v>
      </c>
      <c r="E8">
        <v>-4.0179976731923974E-9</v>
      </c>
      <c r="F8">
        <v>-4.3169787681653082E-7</v>
      </c>
      <c r="G8">
        <v>1.2443653186704699E-6</v>
      </c>
      <c r="H8">
        <v>1.0634739702069093E-7</v>
      </c>
      <c r="I8">
        <v>1.8809729432746954E-6</v>
      </c>
      <c r="J8">
        <v>1.1761910565441183E-7</v>
      </c>
      <c r="K8">
        <v>-1.8838158885153887E-6</v>
      </c>
      <c r="L8">
        <v>5.8287792716727549E-6</v>
      </c>
      <c r="M8">
        <v>-1.0892889210006935E-6</v>
      </c>
      <c r="N8">
        <v>-8.6443179241310163E-7</v>
      </c>
      <c r="O8">
        <v>-2.3437022820491319E-7</v>
      </c>
      <c r="P8">
        <v>-1.2268116491959967E-6</v>
      </c>
      <c r="Q8">
        <v>-1.9197576394821566E-6</v>
      </c>
      <c r="R8">
        <v>-4.718261160033589E-6</v>
      </c>
      <c r="S8">
        <v>1.0319359679861464E-5</v>
      </c>
      <c r="T8">
        <v>-1.3386246033057558E-6</v>
      </c>
      <c r="U8">
        <v>4.9063744253384007E-7</v>
      </c>
      <c r="V8">
        <v>-1.1274124815514831E-6</v>
      </c>
      <c r="W8">
        <v>7.5110763818905227E-6</v>
      </c>
      <c r="X8">
        <v>-9.0576174486004253E-7</v>
      </c>
      <c r="Y8">
        <v>-3.0332340447509221E-6</v>
      </c>
      <c r="Z8">
        <v>-1.51026731611473E-6</v>
      </c>
      <c r="AA8">
        <v>-2.3193086197211918E-6</v>
      </c>
      <c r="AB8">
        <v>1.3339695296634032E-6</v>
      </c>
      <c r="AC8">
        <v>-7.5960542783472788E-7</v>
      </c>
      <c r="AD8">
        <v>-2.5852090172695465E-6</v>
      </c>
      <c r="AE8">
        <v>8.369742555848611E-7</v>
      </c>
      <c r="AF8">
        <v>1.3910729597229638E-7</v>
      </c>
      <c r="AG8">
        <v>-1.626799172442547E-7</v>
      </c>
      <c r="AH8">
        <v>2.2607428132705593E-5</v>
      </c>
      <c r="AI8">
        <v>-2.2315121399743223E-6</v>
      </c>
      <c r="AJ8">
        <v>5.7675289488952577E-6</v>
      </c>
      <c r="AK8">
        <v>-9.5657141478404373E-5</v>
      </c>
    </row>
    <row r="9" spans="1:37" x14ac:dyDescent="0.2">
      <c r="A9" t="s">
        <v>50</v>
      </c>
      <c r="B9">
        <v>0.53066151700602748</v>
      </c>
      <c r="C9">
        <v>2.2797563171173625E-4</v>
      </c>
      <c r="D9">
        <v>1.5074428807907814E-4</v>
      </c>
      <c r="E9">
        <v>-1.9349634452060479E-6</v>
      </c>
      <c r="F9">
        <v>1.8527315345421448E-5</v>
      </c>
      <c r="G9">
        <v>1.2397300677142411E-5</v>
      </c>
      <c r="H9">
        <v>2.7208257071696722E-7</v>
      </c>
      <c r="I9">
        <v>1.1761910565441183E-7</v>
      </c>
      <c r="J9">
        <v>1.5012083188285757E-3</v>
      </c>
      <c r="K9">
        <v>-5.0227633906987966E-4</v>
      </c>
      <c r="L9">
        <v>3.3483680608175612E-4</v>
      </c>
      <c r="M9">
        <v>-1.3003580127849429E-5</v>
      </c>
      <c r="N9">
        <v>-8.3740730874562011E-5</v>
      </c>
      <c r="O9">
        <v>1.0544629590651459E-4</v>
      </c>
      <c r="P9">
        <v>7.7749149916322673E-5</v>
      </c>
      <c r="Q9">
        <v>1.0345135674760862E-4</v>
      </c>
      <c r="R9">
        <v>9.9000694178825473E-5</v>
      </c>
      <c r="S9">
        <v>-6.6622054521533894E-5</v>
      </c>
      <c r="T9">
        <v>3.882683491167392E-5</v>
      </c>
      <c r="U9">
        <v>2.9191038006409352E-5</v>
      </c>
      <c r="V9">
        <v>3.4304499260704802E-5</v>
      </c>
      <c r="W9">
        <v>1.191258776018779E-4</v>
      </c>
      <c r="X9">
        <v>2.8717874604741321E-5</v>
      </c>
      <c r="Y9">
        <v>8.5722453964595939E-5</v>
      </c>
      <c r="Z9">
        <v>4.765347992586981E-5</v>
      </c>
      <c r="AA9">
        <v>4.9357137702018498E-5</v>
      </c>
      <c r="AB9">
        <v>3.7810867106729835E-5</v>
      </c>
      <c r="AC9">
        <v>7.2013749749916017E-5</v>
      </c>
      <c r="AD9">
        <v>3.2203629062025523E-5</v>
      </c>
      <c r="AE9">
        <v>3.2893393993980844E-5</v>
      </c>
      <c r="AF9">
        <v>-6.7645972862828024E-6</v>
      </c>
      <c r="AG9">
        <v>-3.1980213818294872E-5</v>
      </c>
      <c r="AH9">
        <v>1.4749057540722308E-4</v>
      </c>
      <c r="AI9">
        <v>-1.1640705395844862E-5</v>
      </c>
      <c r="AJ9">
        <v>-6.1074970152520105E-5</v>
      </c>
      <c r="AK9">
        <v>-3.2316150663422136E-3</v>
      </c>
    </row>
    <row r="10" spans="1:37" x14ac:dyDescent="0.2">
      <c r="A10" t="s">
        <v>73</v>
      </c>
      <c r="B10">
        <v>0.5236562176187064</v>
      </c>
      <c r="C10">
        <v>-3.6127163150396867E-5</v>
      </c>
      <c r="D10">
        <v>4.2847209230343361E-4</v>
      </c>
      <c r="E10">
        <v>-3.639717442113358E-6</v>
      </c>
      <c r="F10">
        <v>-2.3169127920993694E-5</v>
      </c>
      <c r="G10">
        <v>-3.5334043642090387E-5</v>
      </c>
      <c r="H10">
        <v>-2.5142369465606676E-6</v>
      </c>
      <c r="I10">
        <v>-1.8838158885153887E-6</v>
      </c>
      <c r="J10">
        <v>-5.0227633906987966E-4</v>
      </c>
      <c r="K10">
        <v>4.2707620770000513E-3</v>
      </c>
      <c r="L10">
        <v>-1.2499233549150921E-3</v>
      </c>
      <c r="M10">
        <v>2.7185690264145096E-5</v>
      </c>
      <c r="N10">
        <v>4.2044293673498327E-5</v>
      </c>
      <c r="O10">
        <v>-2.228827317367081E-4</v>
      </c>
      <c r="P10">
        <v>-1.520535101863737E-4</v>
      </c>
      <c r="Q10">
        <v>-1.9739396594225221E-4</v>
      </c>
      <c r="R10">
        <v>-2.7887613640673633E-4</v>
      </c>
      <c r="S10">
        <v>1.8185199231155282E-4</v>
      </c>
      <c r="T10">
        <v>8.8171849764416554E-5</v>
      </c>
      <c r="U10">
        <v>-4.4218989795487273E-5</v>
      </c>
      <c r="V10">
        <v>-2.4626665145160119E-5</v>
      </c>
      <c r="W10">
        <v>6.4951568678874114E-5</v>
      </c>
      <c r="X10">
        <v>-1.4630701368773674E-5</v>
      </c>
      <c r="Y10">
        <v>2.51605504856681E-5</v>
      </c>
      <c r="Z10">
        <v>1.1722927100996268E-5</v>
      </c>
      <c r="AA10">
        <v>1.8441950736204291E-5</v>
      </c>
      <c r="AB10">
        <v>3.0336478610223233E-5</v>
      </c>
      <c r="AC10">
        <v>3.4194373802697541E-5</v>
      </c>
      <c r="AD10">
        <v>-1.2523633482637402E-4</v>
      </c>
      <c r="AE10">
        <v>6.7686322227449545E-6</v>
      </c>
      <c r="AF10">
        <v>1.1182533078298723E-5</v>
      </c>
      <c r="AG10">
        <v>9.2664659280258539E-5</v>
      </c>
      <c r="AH10">
        <v>3.3231486574715995E-4</v>
      </c>
      <c r="AI10">
        <v>-7.7980453200177102E-5</v>
      </c>
      <c r="AJ10">
        <v>2.4653306091413328E-4</v>
      </c>
      <c r="AK10">
        <v>-1.1995536506347854E-2</v>
      </c>
    </row>
    <row r="11" spans="1:37" x14ac:dyDescent="0.2">
      <c r="A11" t="s">
        <v>51</v>
      </c>
      <c r="B11">
        <v>0.61574466111473847</v>
      </c>
      <c r="C11">
        <v>2.1268532048657863E-4</v>
      </c>
      <c r="D11">
        <v>1.749432507736075E-4</v>
      </c>
      <c r="E11">
        <v>-1.4506675460955997E-6</v>
      </c>
      <c r="F11">
        <v>6.6535026404867536E-6</v>
      </c>
      <c r="G11">
        <v>-8.5324782116523413E-5</v>
      </c>
      <c r="H11">
        <v>5.9161855622901538E-6</v>
      </c>
      <c r="I11">
        <v>5.8287792716727549E-6</v>
      </c>
      <c r="J11">
        <v>3.3483680608175612E-4</v>
      </c>
      <c r="K11">
        <v>-1.2499233549150921E-3</v>
      </c>
      <c r="L11">
        <v>1.9501108060936676E-3</v>
      </c>
      <c r="M11">
        <v>1.2104456289233355E-4</v>
      </c>
      <c r="N11">
        <v>2.9029789988330363E-5</v>
      </c>
      <c r="O11">
        <v>4.3966024066323785E-4</v>
      </c>
      <c r="P11">
        <v>8.7804091176139172E-4</v>
      </c>
      <c r="Q11">
        <v>9.8636302361785168E-4</v>
      </c>
      <c r="R11">
        <v>1.1165517307033235E-3</v>
      </c>
      <c r="S11">
        <v>-6.0349552476584819E-4</v>
      </c>
      <c r="T11">
        <v>-3.0723825526723231E-4</v>
      </c>
      <c r="U11">
        <v>-1.2995938998674669E-4</v>
      </c>
      <c r="V11">
        <v>-1.4625030057526228E-4</v>
      </c>
      <c r="W11">
        <v>-2.8454128640589924E-4</v>
      </c>
      <c r="X11">
        <v>-1.4913357607569027E-4</v>
      </c>
      <c r="Y11">
        <v>-2.192357688889637E-4</v>
      </c>
      <c r="Z11">
        <v>-2.2545123333635175E-4</v>
      </c>
      <c r="AA11">
        <v>-1.6942530092480153E-4</v>
      </c>
      <c r="AB11">
        <v>-1.7605170800144565E-4</v>
      </c>
      <c r="AC11">
        <v>-2.4402787920398778E-4</v>
      </c>
      <c r="AD11">
        <v>-1.5217333784082847E-4</v>
      </c>
      <c r="AE11">
        <v>6.2210124049624132E-6</v>
      </c>
      <c r="AF11">
        <v>-4.1269067807895286E-5</v>
      </c>
      <c r="AG11">
        <v>-4.542638416967583E-5</v>
      </c>
      <c r="AH11">
        <v>-7.8044436726910828E-4</v>
      </c>
      <c r="AI11">
        <v>-1.4083739086847517E-4</v>
      </c>
      <c r="AJ11">
        <v>-5.4224554898046418E-4</v>
      </c>
      <c r="AK11">
        <v>-7.1665992587352234E-3</v>
      </c>
    </row>
    <row r="12" spans="1:37" x14ac:dyDescent="0.2">
      <c r="A12" t="s">
        <v>75</v>
      </c>
      <c r="B12">
        <v>0.32592073721252457</v>
      </c>
      <c r="C12">
        <v>-3.3476014094011131E-5</v>
      </c>
      <c r="D12">
        <v>8.7917412043719313E-6</v>
      </c>
      <c r="E12">
        <v>-6.6156625567757705E-8</v>
      </c>
      <c r="F12">
        <v>5.7165279475065315E-5</v>
      </c>
      <c r="G12">
        <v>7.8299540956606065E-5</v>
      </c>
      <c r="H12">
        <v>-2.0336531362796326E-6</v>
      </c>
      <c r="I12">
        <v>-1.0892889210006935E-6</v>
      </c>
      <c r="J12">
        <v>-1.3003580127849429E-5</v>
      </c>
      <c r="K12">
        <v>2.7185690264145096E-5</v>
      </c>
      <c r="L12">
        <v>1.2104456289233355E-4</v>
      </c>
      <c r="M12">
        <v>7.7651967695976248E-4</v>
      </c>
      <c r="N12">
        <v>-2.7221834312236869E-4</v>
      </c>
      <c r="O12">
        <v>2.6123441047042479E-4</v>
      </c>
      <c r="P12">
        <v>4.2458341760226854E-4</v>
      </c>
      <c r="Q12">
        <v>5.8956115966741563E-4</v>
      </c>
      <c r="R12">
        <v>7.1975703391031728E-4</v>
      </c>
      <c r="S12">
        <v>-4.2202537117885874E-5</v>
      </c>
      <c r="T12">
        <v>-1.3811153794394612E-4</v>
      </c>
      <c r="U12">
        <v>-1.1524769736950371E-4</v>
      </c>
      <c r="V12">
        <v>-1.1007560033896198E-4</v>
      </c>
      <c r="W12">
        <v>-1.8552773687463046E-4</v>
      </c>
      <c r="X12">
        <v>-1.0414758561621744E-4</v>
      </c>
      <c r="Y12">
        <v>-1.1102932411283324E-4</v>
      </c>
      <c r="Z12">
        <v>-1.2523563364044555E-4</v>
      </c>
      <c r="AA12">
        <v>-9.3759870109040057E-5</v>
      </c>
      <c r="AB12">
        <v>-1.2689619076027277E-4</v>
      </c>
      <c r="AC12">
        <v>-1.3581781385477477E-4</v>
      </c>
      <c r="AD12">
        <v>-1.64133149487915E-4</v>
      </c>
      <c r="AE12">
        <v>-6.8730494535539602E-6</v>
      </c>
      <c r="AF12">
        <v>1.8514119337445652E-5</v>
      </c>
      <c r="AG12">
        <v>-3.2029852000093111E-5</v>
      </c>
      <c r="AH12">
        <v>-4.3101120499286797E-4</v>
      </c>
      <c r="AI12">
        <v>7.3520470893190639E-7</v>
      </c>
      <c r="AJ12">
        <v>-1.6500221787909191E-4</v>
      </c>
      <c r="AK12">
        <v>-7.4034499519242173E-4</v>
      </c>
    </row>
    <row r="13" spans="1:37" x14ac:dyDescent="0.2">
      <c r="A13" t="s">
        <v>74</v>
      </c>
      <c r="B13">
        <v>6.2798697014280355E-2</v>
      </c>
      <c r="C13">
        <v>6.6372572271286207E-5</v>
      </c>
      <c r="D13">
        <v>1.5198222483276552E-5</v>
      </c>
      <c r="E13">
        <v>-3.8191845753683173E-7</v>
      </c>
      <c r="F13">
        <v>1.6099549837480738E-5</v>
      </c>
      <c r="G13">
        <v>2.167004172672284E-5</v>
      </c>
      <c r="H13">
        <v>1.2341773283920544E-6</v>
      </c>
      <c r="I13">
        <v>-8.6443179241310163E-7</v>
      </c>
      <c r="J13">
        <v>-8.3740730874562011E-5</v>
      </c>
      <c r="K13">
        <v>4.2044293673498327E-5</v>
      </c>
      <c r="L13">
        <v>2.9029789988330363E-5</v>
      </c>
      <c r="M13">
        <v>-2.7221834312236869E-4</v>
      </c>
      <c r="N13">
        <v>9.0320343275387992E-4</v>
      </c>
      <c r="O13">
        <v>-1.8707761538748762E-4</v>
      </c>
      <c r="P13">
        <v>-1.7139077040279337E-4</v>
      </c>
      <c r="Q13">
        <v>-1.2368857022247462E-4</v>
      </c>
      <c r="R13">
        <v>-1.2911378613674E-4</v>
      </c>
      <c r="S13">
        <v>2.6777805357495636E-5</v>
      </c>
      <c r="T13">
        <v>5.2790524405165431E-5</v>
      </c>
      <c r="U13">
        <v>2.4611789095094197E-5</v>
      </c>
      <c r="V13">
        <v>6.5619370777193057E-5</v>
      </c>
      <c r="W13">
        <v>1.169979279241833E-4</v>
      </c>
      <c r="X13">
        <v>7.1584492738275133E-6</v>
      </c>
      <c r="Y13">
        <v>4.1785545165508623E-5</v>
      </c>
      <c r="Z13">
        <v>5.2478640290093902E-5</v>
      </c>
      <c r="AA13">
        <v>3.5417719214549776E-6</v>
      </c>
      <c r="AB13">
        <v>1.5676241696744382E-5</v>
      </c>
      <c r="AC13">
        <v>5.6823563094016945E-5</v>
      </c>
      <c r="AD13">
        <v>9.8704348400166324E-5</v>
      </c>
      <c r="AE13">
        <v>1.3348089037231718E-5</v>
      </c>
      <c r="AF13">
        <v>-4.3856560160834948E-5</v>
      </c>
      <c r="AG13">
        <v>-8.6046620779482732E-8</v>
      </c>
      <c r="AH13">
        <v>1.7930030439288462E-4</v>
      </c>
      <c r="AI13">
        <v>-2.8752949195567711E-5</v>
      </c>
      <c r="AJ13">
        <v>1.6789346649559702E-4</v>
      </c>
      <c r="AK13">
        <v>1.4817325938999519E-4</v>
      </c>
    </row>
    <row r="14" spans="1:37" x14ac:dyDescent="0.2">
      <c r="A14" t="s">
        <v>52</v>
      </c>
      <c r="B14">
        <v>0.12108493865355374</v>
      </c>
      <c r="C14">
        <v>1.500312242889139E-4</v>
      </c>
      <c r="D14">
        <v>8.1774750084958724E-5</v>
      </c>
      <c r="E14">
        <v>-7.5542472612553506E-7</v>
      </c>
      <c r="F14">
        <v>-4.7352021801317211E-6</v>
      </c>
      <c r="G14">
        <v>1.2508816418774191E-4</v>
      </c>
      <c r="H14">
        <v>1.34008376161417E-6</v>
      </c>
      <c r="I14">
        <v>-2.3437022820491319E-7</v>
      </c>
      <c r="J14">
        <v>1.0544629590651459E-4</v>
      </c>
      <c r="K14">
        <v>-2.228827317367081E-4</v>
      </c>
      <c r="L14">
        <v>4.3966024066323785E-4</v>
      </c>
      <c r="M14">
        <v>2.6123441047042479E-4</v>
      </c>
      <c r="N14">
        <v>-1.8707761538748762E-4</v>
      </c>
      <c r="O14">
        <v>4.5371037515756617E-3</v>
      </c>
      <c r="P14">
        <v>3.5129371669255422E-3</v>
      </c>
      <c r="Q14">
        <v>3.6413311482099255E-3</v>
      </c>
      <c r="R14">
        <v>3.6842700849785545E-3</v>
      </c>
      <c r="S14">
        <v>3.2140224443571254E-4</v>
      </c>
      <c r="T14">
        <v>-9.3641285997161927E-5</v>
      </c>
      <c r="U14">
        <v>-9.0858665272306512E-5</v>
      </c>
      <c r="V14">
        <v>6.2202904672163922E-6</v>
      </c>
      <c r="W14">
        <v>-2.099137124137461E-4</v>
      </c>
      <c r="X14">
        <v>-9.6796145963695245E-5</v>
      </c>
      <c r="Y14">
        <v>-9.5540126501064042E-5</v>
      </c>
      <c r="Z14">
        <v>-9.0112602034827637E-5</v>
      </c>
      <c r="AA14">
        <v>-6.6994065652757227E-5</v>
      </c>
      <c r="AB14">
        <v>-1.1458018415532074E-4</v>
      </c>
      <c r="AC14">
        <v>3.8640425591614843E-5</v>
      </c>
      <c r="AD14">
        <v>-1.9091847918614388E-5</v>
      </c>
      <c r="AE14">
        <v>-3.7604504412725565E-6</v>
      </c>
      <c r="AF14">
        <v>-6.4192070363883582E-5</v>
      </c>
      <c r="AG14">
        <v>4.0625830921731403E-5</v>
      </c>
      <c r="AH14">
        <v>8.315910487289354E-5</v>
      </c>
      <c r="AI14">
        <v>-6.707838256518172E-5</v>
      </c>
      <c r="AJ14">
        <v>-1.860429349241795E-4</v>
      </c>
      <c r="AK14">
        <v>-5.9383850126287184E-3</v>
      </c>
    </row>
    <row r="15" spans="1:37" x14ac:dyDescent="0.2">
      <c r="A15" t="s">
        <v>53</v>
      </c>
      <c r="B15">
        <v>0.20245439514755942</v>
      </c>
      <c r="C15">
        <v>1.627438276777367E-4</v>
      </c>
      <c r="D15">
        <v>3.19103611081447E-6</v>
      </c>
      <c r="E15">
        <v>-1.2266057893849688E-7</v>
      </c>
      <c r="F15">
        <v>-1.3357144647109284E-5</v>
      </c>
      <c r="G15">
        <v>2.032127963917542E-4</v>
      </c>
      <c r="H15">
        <v>2.5667475584841711E-6</v>
      </c>
      <c r="I15">
        <v>-1.2268116491959967E-6</v>
      </c>
      <c r="J15">
        <v>7.7749149916322673E-5</v>
      </c>
      <c r="K15">
        <v>-1.520535101863737E-4</v>
      </c>
      <c r="L15">
        <v>8.7804091176139172E-4</v>
      </c>
      <c r="M15">
        <v>4.2458341760226854E-4</v>
      </c>
      <c r="N15">
        <v>-1.7139077040279337E-4</v>
      </c>
      <c r="O15">
        <v>3.5129371669255422E-3</v>
      </c>
      <c r="P15">
        <v>4.6682470964600504E-3</v>
      </c>
      <c r="Q15">
        <v>4.2838229952859236E-3</v>
      </c>
      <c r="R15">
        <v>4.3706784446059087E-3</v>
      </c>
      <c r="S15">
        <v>4.9315082723549336E-4</v>
      </c>
      <c r="T15">
        <v>-4.4232775130330338E-4</v>
      </c>
      <c r="U15">
        <v>-3.3371187303885626E-4</v>
      </c>
      <c r="V15">
        <v>-2.3344381561099439E-4</v>
      </c>
      <c r="W15">
        <v>-3.7183109864927195E-4</v>
      </c>
      <c r="X15">
        <v>-2.9485352161907842E-4</v>
      </c>
      <c r="Y15">
        <v>-2.8681225117831795E-4</v>
      </c>
      <c r="Z15">
        <v>-3.0986130662663362E-4</v>
      </c>
      <c r="AA15">
        <v>-2.5141624604917731E-4</v>
      </c>
      <c r="AB15">
        <v>-2.9485208585204744E-4</v>
      </c>
      <c r="AC15">
        <v>-2.5312978662154432E-4</v>
      </c>
      <c r="AD15">
        <v>-2.009896121758217E-4</v>
      </c>
      <c r="AE15">
        <v>-1.4608143271239646E-6</v>
      </c>
      <c r="AF15">
        <v>-1.7809960616802981E-4</v>
      </c>
      <c r="AG15">
        <v>-7.5715752952604267E-5</v>
      </c>
      <c r="AH15">
        <v>6.126086069432532E-5</v>
      </c>
      <c r="AI15">
        <v>-8.4708434244003348E-5</v>
      </c>
      <c r="AJ15">
        <v>-2.3942519875688371E-4</v>
      </c>
      <c r="AK15">
        <v>-4.1149042660478001E-3</v>
      </c>
    </row>
    <row r="16" spans="1:37" x14ac:dyDescent="0.2">
      <c r="A16" t="s">
        <v>54</v>
      </c>
      <c r="B16">
        <v>0.27561583669022</v>
      </c>
      <c r="C16">
        <v>1.180764192182775E-4</v>
      </c>
      <c r="D16">
        <v>-1.5415253388564344E-4</v>
      </c>
      <c r="E16">
        <v>1.138755200057927E-6</v>
      </c>
      <c r="F16">
        <v>1.2412674466991445E-4</v>
      </c>
      <c r="G16">
        <v>4.7151846429400437E-4</v>
      </c>
      <c r="H16">
        <v>3.1330688131292449E-6</v>
      </c>
      <c r="I16">
        <v>-1.9197576394821566E-6</v>
      </c>
      <c r="J16">
        <v>1.0345135674760862E-4</v>
      </c>
      <c r="K16">
        <v>-1.9739396594225221E-4</v>
      </c>
      <c r="L16">
        <v>9.8636302361785168E-4</v>
      </c>
      <c r="M16">
        <v>5.8956115966741563E-4</v>
      </c>
      <c r="N16">
        <v>-1.2368857022247462E-4</v>
      </c>
      <c r="O16">
        <v>3.6413311482099255E-3</v>
      </c>
      <c r="P16">
        <v>4.2838229952859236E-3</v>
      </c>
      <c r="Q16">
        <v>5.1783515176515808E-3</v>
      </c>
      <c r="R16">
        <v>4.8683648552572062E-3</v>
      </c>
      <c r="S16">
        <v>6.4543762346347909E-4</v>
      </c>
      <c r="T16">
        <v>-2.2300408294189647E-4</v>
      </c>
      <c r="U16">
        <v>-8.3042309582709154E-5</v>
      </c>
      <c r="V16">
        <v>3.0410350107863303E-6</v>
      </c>
      <c r="W16">
        <v>6.0487965490296834E-5</v>
      </c>
      <c r="X16">
        <v>-2.9222699179646877E-5</v>
      </c>
      <c r="Y16">
        <v>-7.5020845969721544E-5</v>
      </c>
      <c r="Z16">
        <v>-9.8629989278121153E-5</v>
      </c>
      <c r="AA16">
        <v>3.4494869863869017E-5</v>
      </c>
      <c r="AB16">
        <v>-5.8376146036528964E-5</v>
      </c>
      <c r="AC16">
        <v>-7.1926177295426972E-6</v>
      </c>
      <c r="AD16">
        <v>8.147210400611467E-5</v>
      </c>
      <c r="AE16">
        <v>1.3458493275421153E-6</v>
      </c>
      <c r="AF16">
        <v>-1.7842705781973516E-4</v>
      </c>
      <c r="AG16">
        <v>-3.9876368257422124E-5</v>
      </c>
      <c r="AH16">
        <v>9.8969571091831235E-4</v>
      </c>
      <c r="AI16">
        <v>6.2118339098118838E-5</v>
      </c>
      <c r="AJ16">
        <v>-3.1926678645715354E-4</v>
      </c>
      <c r="AK16">
        <v>-1.5958110675594762E-4</v>
      </c>
    </row>
    <row r="17" spans="1:37" x14ac:dyDescent="0.2">
      <c r="A17" t="s">
        <v>55</v>
      </c>
      <c r="B17">
        <v>0.44594745078483866</v>
      </c>
      <c r="C17">
        <v>1.2099409863297917E-4</v>
      </c>
      <c r="D17">
        <v>-8.774625564149114E-5</v>
      </c>
      <c r="E17">
        <v>6.7278402651665877E-7</v>
      </c>
      <c r="F17">
        <v>2.022333836954617E-4</v>
      </c>
      <c r="G17">
        <v>5.452979941012728E-4</v>
      </c>
      <c r="H17">
        <v>-1.0842198061939254E-6</v>
      </c>
      <c r="I17">
        <v>-4.718261160033589E-6</v>
      </c>
      <c r="J17">
        <v>9.9000694178825473E-5</v>
      </c>
      <c r="K17">
        <v>-2.7887613640673633E-4</v>
      </c>
      <c r="L17">
        <v>1.1165517307033235E-3</v>
      </c>
      <c r="M17">
        <v>7.1975703391031728E-4</v>
      </c>
      <c r="N17">
        <v>-1.2911378613674E-4</v>
      </c>
      <c r="O17">
        <v>3.6842700849785545E-3</v>
      </c>
      <c r="P17">
        <v>4.3706784446059087E-3</v>
      </c>
      <c r="Q17">
        <v>4.8683648552572062E-3</v>
      </c>
      <c r="R17">
        <v>5.3897579116494853E-3</v>
      </c>
      <c r="S17">
        <v>5.6217258446161148E-4</v>
      </c>
      <c r="T17">
        <v>-2.3614587122211105E-4</v>
      </c>
      <c r="U17">
        <v>-7.9041762989169855E-5</v>
      </c>
      <c r="V17">
        <v>2.4091122710191573E-5</v>
      </c>
      <c r="W17">
        <v>-1.6248782668856385E-4</v>
      </c>
      <c r="X17">
        <v>-1.4483381370454778E-5</v>
      </c>
      <c r="Y17">
        <v>-1.2548256158406192E-4</v>
      </c>
      <c r="Z17">
        <v>-1.7717369935453964E-4</v>
      </c>
      <c r="AA17">
        <v>-1.378192709660872E-5</v>
      </c>
      <c r="AB17">
        <v>-9.0813976172197681E-5</v>
      </c>
      <c r="AC17">
        <v>-2.9188270194577086E-5</v>
      </c>
      <c r="AD17">
        <v>5.378228008637298E-5</v>
      </c>
      <c r="AE17">
        <v>-6.3393396944794221E-6</v>
      </c>
      <c r="AF17">
        <v>-1.3073894500762481E-4</v>
      </c>
      <c r="AG17">
        <v>-3.0022754991559524E-5</v>
      </c>
      <c r="AH17">
        <v>2.055424646331622E-4</v>
      </c>
      <c r="AI17">
        <v>1.6045009566016373E-4</v>
      </c>
      <c r="AJ17">
        <v>-2.2480670849015123E-4</v>
      </c>
      <c r="AK17">
        <v>-2.2204445184796136E-3</v>
      </c>
    </row>
    <row r="18" spans="1:37" x14ac:dyDescent="0.2">
      <c r="A18" t="s">
        <v>56</v>
      </c>
      <c r="B18">
        <v>-0.12867559418656024</v>
      </c>
      <c r="C18">
        <v>-7.8999607762904152E-5</v>
      </c>
      <c r="D18">
        <v>-2.3405325425010504E-4</v>
      </c>
      <c r="E18">
        <v>1.9240756818824229E-6</v>
      </c>
      <c r="F18">
        <v>3.2375781224369877E-5</v>
      </c>
      <c r="G18">
        <v>4.1922976390655809E-5</v>
      </c>
      <c r="H18">
        <v>2.2168626291516049E-5</v>
      </c>
      <c r="I18">
        <v>1.0319359679861464E-5</v>
      </c>
      <c r="J18">
        <v>-6.6622054521533894E-5</v>
      </c>
      <c r="K18">
        <v>1.8185199231155282E-4</v>
      </c>
      <c r="L18">
        <v>-6.0349552476584819E-4</v>
      </c>
      <c r="M18">
        <v>-4.2202537117885874E-5</v>
      </c>
      <c r="N18">
        <v>2.6777805357495636E-5</v>
      </c>
      <c r="O18">
        <v>3.2140224443571254E-4</v>
      </c>
      <c r="P18">
        <v>4.9315082723549336E-4</v>
      </c>
      <c r="Q18">
        <v>6.4543762346347909E-4</v>
      </c>
      <c r="R18">
        <v>5.6217258446161148E-4</v>
      </c>
      <c r="S18">
        <v>2.2852743602280547E-3</v>
      </c>
      <c r="T18">
        <v>5.546521660156783E-5</v>
      </c>
      <c r="U18">
        <v>7.8724558804471297E-5</v>
      </c>
      <c r="V18">
        <v>5.4240235728675616E-5</v>
      </c>
      <c r="W18">
        <v>2.1668946437121764E-4</v>
      </c>
      <c r="X18">
        <v>9.7402159643090102E-5</v>
      </c>
      <c r="Y18">
        <v>6.2735443432025435E-5</v>
      </c>
      <c r="Z18">
        <v>6.5107524138756931E-5</v>
      </c>
      <c r="AA18">
        <v>3.7339325410253163E-5</v>
      </c>
      <c r="AB18">
        <v>2.9730759393105204E-5</v>
      </c>
      <c r="AC18">
        <v>-1.6620461376627618E-5</v>
      </c>
      <c r="AD18">
        <v>-5.7833840809134746E-5</v>
      </c>
      <c r="AE18">
        <v>-3.4904252157705079E-6</v>
      </c>
      <c r="AF18">
        <v>2.0587389307758961E-5</v>
      </c>
      <c r="AG18">
        <v>5.8612399539937512E-5</v>
      </c>
      <c r="AH18">
        <v>7.6673545360437124E-4</v>
      </c>
      <c r="AI18">
        <v>6.2689569632612234E-5</v>
      </c>
      <c r="AJ18">
        <v>2.4263108876943678E-4</v>
      </c>
      <c r="AK18">
        <v>4.841919194682201E-3</v>
      </c>
    </row>
    <row r="19" spans="1:37" x14ac:dyDescent="0.2">
      <c r="A19" t="s">
        <v>57</v>
      </c>
      <c r="B19">
        <v>0.23393749477395775</v>
      </c>
      <c r="C19">
        <v>-1.4076749368187677E-4</v>
      </c>
      <c r="D19">
        <v>-1.3800979010805334E-4</v>
      </c>
      <c r="E19">
        <v>1.2042883777092285E-6</v>
      </c>
      <c r="F19">
        <v>8.4834912260119003E-6</v>
      </c>
      <c r="G19">
        <v>-2.0190861864260307E-5</v>
      </c>
      <c r="H19">
        <v>4.2094297733758499E-6</v>
      </c>
      <c r="I19">
        <v>-1.3386246033057558E-6</v>
      </c>
      <c r="J19">
        <v>3.882683491167392E-5</v>
      </c>
      <c r="K19">
        <v>8.8171849764416554E-5</v>
      </c>
      <c r="L19">
        <v>-3.0723825526723231E-4</v>
      </c>
      <c r="M19">
        <v>-1.3811153794394612E-4</v>
      </c>
      <c r="N19">
        <v>5.2790524405165431E-5</v>
      </c>
      <c r="O19">
        <v>-9.3641285997161927E-5</v>
      </c>
      <c r="P19">
        <v>-4.4232775130330338E-4</v>
      </c>
      <c r="Q19">
        <v>-2.2300408294189647E-4</v>
      </c>
      <c r="R19">
        <v>-2.3614587122211105E-4</v>
      </c>
      <c r="S19">
        <v>5.546521660156783E-5</v>
      </c>
      <c r="T19">
        <v>5.4477216533581185E-3</v>
      </c>
      <c r="U19">
        <v>2.7230228607281019E-3</v>
      </c>
      <c r="V19">
        <v>2.7102442082332554E-3</v>
      </c>
      <c r="W19">
        <v>2.9642706256497267E-3</v>
      </c>
      <c r="X19">
        <v>2.7187087908356264E-3</v>
      </c>
      <c r="Y19">
        <v>2.6989598828957295E-3</v>
      </c>
      <c r="Z19">
        <v>2.7048991247228945E-3</v>
      </c>
      <c r="AA19">
        <v>2.7345489303218103E-3</v>
      </c>
      <c r="AB19">
        <v>2.7466961563768124E-3</v>
      </c>
      <c r="AC19">
        <v>2.7648862610188439E-3</v>
      </c>
      <c r="AD19">
        <v>2.7965008556145119E-3</v>
      </c>
      <c r="AE19">
        <v>-2.0558988138085383E-5</v>
      </c>
      <c r="AF19">
        <v>-1.9156243986151802E-5</v>
      </c>
      <c r="AG19">
        <v>1.376457475656626E-4</v>
      </c>
      <c r="AH19">
        <v>1.7317893508796659E-3</v>
      </c>
      <c r="AI19">
        <v>1.3329598505165885E-3</v>
      </c>
      <c r="AJ19">
        <v>-2.9392263015029865E-4</v>
      </c>
      <c r="AK19">
        <v>1.7674576858222818E-3</v>
      </c>
    </row>
    <row r="20" spans="1:37" x14ac:dyDescent="0.2">
      <c r="A20" t="s">
        <v>58</v>
      </c>
      <c r="B20">
        <v>0.12446776990065339</v>
      </c>
      <c r="C20">
        <v>-1.3668876581117103E-4</v>
      </c>
      <c r="D20">
        <v>-1.2911175610285687E-4</v>
      </c>
      <c r="E20">
        <v>1.0868317942213334E-6</v>
      </c>
      <c r="F20">
        <v>6.4646445108757866E-5</v>
      </c>
      <c r="G20">
        <v>6.3468463752193287E-5</v>
      </c>
      <c r="H20">
        <v>2.5762402972119962E-6</v>
      </c>
      <c r="I20">
        <v>4.9063744253384007E-7</v>
      </c>
      <c r="J20">
        <v>2.9191038006409352E-5</v>
      </c>
      <c r="K20">
        <v>-4.4218989795487273E-5</v>
      </c>
      <c r="L20">
        <v>-1.2995938998674669E-4</v>
      </c>
      <c r="M20">
        <v>-1.1524769736950371E-4</v>
      </c>
      <c r="N20">
        <v>2.4611789095094197E-5</v>
      </c>
      <c r="O20">
        <v>-9.0858665272306512E-5</v>
      </c>
      <c r="P20">
        <v>-3.3371187303885626E-4</v>
      </c>
      <c r="Q20">
        <v>-8.3042309582709154E-5</v>
      </c>
      <c r="R20">
        <v>-7.9041762989169855E-5</v>
      </c>
      <c r="S20">
        <v>7.8724558804471297E-5</v>
      </c>
      <c r="T20">
        <v>2.7230228607281019E-3</v>
      </c>
      <c r="U20">
        <v>3.799550883834147E-3</v>
      </c>
      <c r="V20">
        <v>2.6519618105022339E-3</v>
      </c>
      <c r="W20">
        <v>2.8860588946789415E-3</v>
      </c>
      <c r="X20">
        <v>2.6567615928784058E-3</v>
      </c>
      <c r="Y20">
        <v>2.6459158801001781E-3</v>
      </c>
      <c r="Z20">
        <v>2.6596177963680652E-3</v>
      </c>
      <c r="AA20">
        <v>2.6878339639631972E-3</v>
      </c>
      <c r="AB20">
        <v>2.6842296685982547E-3</v>
      </c>
      <c r="AC20">
        <v>2.6954153209061381E-3</v>
      </c>
      <c r="AD20">
        <v>2.7200988268549445E-3</v>
      </c>
      <c r="AE20">
        <v>-1.7079525334424159E-5</v>
      </c>
      <c r="AF20">
        <v>6.1763610492837216E-6</v>
      </c>
      <c r="AG20">
        <v>-2.601776545945139E-5</v>
      </c>
      <c r="AH20">
        <v>1.5637610695035642E-3</v>
      </c>
      <c r="AI20">
        <v>1.2143158811348496E-3</v>
      </c>
      <c r="AJ20">
        <v>-4.7648176891071543E-4</v>
      </c>
      <c r="AK20">
        <v>1.4682143272505693E-3</v>
      </c>
    </row>
    <row r="21" spans="1:37" x14ac:dyDescent="0.2">
      <c r="A21" t="s">
        <v>59</v>
      </c>
      <c r="B21">
        <v>0.15885390355878248</v>
      </c>
      <c r="C21">
        <v>-1.2714384213254845E-4</v>
      </c>
      <c r="D21">
        <v>-1.3068892299153076E-4</v>
      </c>
      <c r="E21">
        <v>1.0945138266390468E-6</v>
      </c>
      <c r="F21">
        <v>6.6278471360875534E-5</v>
      </c>
      <c r="G21">
        <v>2.8008209233265473E-5</v>
      </c>
      <c r="H21">
        <v>1.6621315743166329E-6</v>
      </c>
      <c r="I21">
        <v>-1.1274124815514831E-6</v>
      </c>
      <c r="J21">
        <v>3.4304499260704802E-5</v>
      </c>
      <c r="K21">
        <v>-2.4626665145160119E-5</v>
      </c>
      <c r="L21">
        <v>-1.4625030057526228E-4</v>
      </c>
      <c r="M21">
        <v>-1.1007560033896198E-4</v>
      </c>
      <c r="N21">
        <v>6.5619370777193057E-5</v>
      </c>
      <c r="O21">
        <v>6.2202904672163922E-6</v>
      </c>
      <c r="P21">
        <v>-2.3344381561099439E-4</v>
      </c>
      <c r="Q21">
        <v>3.0410350107863303E-6</v>
      </c>
      <c r="R21">
        <v>2.4091122710191573E-5</v>
      </c>
      <c r="S21">
        <v>5.4240235728675616E-5</v>
      </c>
      <c r="T21">
        <v>2.7102442082332554E-3</v>
      </c>
      <c r="U21">
        <v>2.6519618105022339E-3</v>
      </c>
      <c r="V21">
        <v>4.0961506580381377E-3</v>
      </c>
      <c r="W21">
        <v>2.8385543468549134E-3</v>
      </c>
      <c r="X21">
        <v>2.6571336606716319E-3</v>
      </c>
      <c r="Y21">
        <v>2.6363398773641632E-3</v>
      </c>
      <c r="Z21">
        <v>2.6446131724438531E-3</v>
      </c>
      <c r="AA21">
        <v>2.6710170338987869E-3</v>
      </c>
      <c r="AB21">
        <v>2.6676071152200876E-3</v>
      </c>
      <c r="AC21">
        <v>2.6836880510053484E-3</v>
      </c>
      <c r="AD21">
        <v>2.7202911049568467E-3</v>
      </c>
      <c r="AE21">
        <v>-1.2617337533954215E-5</v>
      </c>
      <c r="AF21">
        <v>6.7605234115890615E-5</v>
      </c>
      <c r="AG21">
        <v>-3.364244881887894E-5</v>
      </c>
      <c r="AH21">
        <v>1.3617784303921938E-3</v>
      </c>
      <c r="AI21">
        <v>1.2686456158567975E-3</v>
      </c>
      <c r="AJ21">
        <v>-4.6013430799218152E-4</v>
      </c>
      <c r="AK21">
        <v>1.4925912019428181E-3</v>
      </c>
    </row>
    <row r="22" spans="1:37" x14ac:dyDescent="0.2">
      <c r="A22" t="s">
        <v>60</v>
      </c>
      <c r="B22">
        <v>0.10190559241708566</v>
      </c>
      <c r="C22">
        <v>-1.4837370158889449E-4</v>
      </c>
      <c r="D22">
        <v>-4.0177895602702901E-4</v>
      </c>
      <c r="E22">
        <v>3.0954933934382882E-6</v>
      </c>
      <c r="F22">
        <v>1.18374498966749E-4</v>
      </c>
      <c r="G22">
        <v>2.6445483340923866E-4</v>
      </c>
      <c r="H22">
        <v>6.2493865846285919E-6</v>
      </c>
      <c r="I22">
        <v>7.5110763818905227E-6</v>
      </c>
      <c r="J22">
        <v>1.191258776018779E-4</v>
      </c>
      <c r="K22">
        <v>6.4951568678874114E-5</v>
      </c>
      <c r="L22">
        <v>-2.8454128640589924E-4</v>
      </c>
      <c r="M22">
        <v>-1.8552773687463046E-4</v>
      </c>
      <c r="N22">
        <v>1.169979279241833E-4</v>
      </c>
      <c r="O22">
        <v>-2.099137124137461E-4</v>
      </c>
      <c r="P22">
        <v>-3.7183109864927195E-4</v>
      </c>
      <c r="Q22">
        <v>6.0487965490296834E-5</v>
      </c>
      <c r="R22">
        <v>-1.6248782668856385E-4</v>
      </c>
      <c r="S22">
        <v>2.1668946437121764E-4</v>
      </c>
      <c r="T22">
        <v>2.9642706256497267E-3</v>
      </c>
      <c r="U22">
        <v>2.8860588946789415E-3</v>
      </c>
      <c r="V22">
        <v>2.8385543468549134E-3</v>
      </c>
      <c r="W22">
        <v>4.9961825414943824E-3</v>
      </c>
      <c r="X22">
        <v>2.8424956779678793E-3</v>
      </c>
      <c r="Y22">
        <v>2.8752440246965533E-3</v>
      </c>
      <c r="Z22">
        <v>2.9007632452119712E-3</v>
      </c>
      <c r="AA22">
        <v>2.9561806413237581E-3</v>
      </c>
      <c r="AB22">
        <v>2.9306384085303386E-3</v>
      </c>
      <c r="AC22">
        <v>2.9585602227152254E-3</v>
      </c>
      <c r="AD22">
        <v>2.9859186866155697E-3</v>
      </c>
      <c r="AE22">
        <v>1.2983038494071694E-5</v>
      </c>
      <c r="AF22">
        <v>-8.1814080730243033E-5</v>
      </c>
      <c r="AG22">
        <v>-1.8108981637578528E-4</v>
      </c>
      <c r="AH22">
        <v>3.7453478749548087E-3</v>
      </c>
      <c r="AI22">
        <v>1.3508951173299068E-3</v>
      </c>
      <c r="AJ22">
        <v>-4.1290270972204251E-4</v>
      </c>
      <c r="AK22">
        <v>9.2081598150843234E-3</v>
      </c>
    </row>
    <row r="23" spans="1:37" x14ac:dyDescent="0.2">
      <c r="A23" t="s">
        <v>61</v>
      </c>
      <c r="B23">
        <v>0.10899814890846771</v>
      </c>
      <c r="C23">
        <v>-1.3961418687945167E-4</v>
      </c>
      <c r="D23">
        <v>-1.8408553891208559E-4</v>
      </c>
      <c r="E23">
        <v>1.5634587434315458E-6</v>
      </c>
      <c r="F23">
        <v>-3.4349306495866385E-5</v>
      </c>
      <c r="G23">
        <v>-3.6329161594594081E-5</v>
      </c>
      <c r="H23">
        <v>1.6992154877552626E-6</v>
      </c>
      <c r="I23">
        <v>-9.0576174486004253E-7</v>
      </c>
      <c r="J23">
        <v>2.8717874604741321E-5</v>
      </c>
      <c r="K23">
        <v>-1.4630701368773674E-5</v>
      </c>
      <c r="L23">
        <v>-1.4913357607569027E-4</v>
      </c>
      <c r="M23">
        <v>-1.0414758561621744E-4</v>
      </c>
      <c r="N23">
        <v>7.1584492738275133E-6</v>
      </c>
      <c r="O23">
        <v>-9.6796145963695245E-5</v>
      </c>
      <c r="P23">
        <v>-2.9485352161907842E-4</v>
      </c>
      <c r="Q23">
        <v>-2.9222699179646877E-5</v>
      </c>
      <c r="R23">
        <v>-1.4483381370454778E-5</v>
      </c>
      <c r="S23">
        <v>9.7402159643090102E-5</v>
      </c>
      <c r="T23">
        <v>2.7187087908356264E-3</v>
      </c>
      <c r="U23">
        <v>2.6567615928784058E-3</v>
      </c>
      <c r="V23">
        <v>2.6571336606716319E-3</v>
      </c>
      <c r="W23">
        <v>2.8424956779678793E-3</v>
      </c>
      <c r="X23">
        <v>4.2369274299728487E-3</v>
      </c>
      <c r="Y23">
        <v>2.6383029892533632E-3</v>
      </c>
      <c r="Z23">
        <v>2.6421903158761464E-3</v>
      </c>
      <c r="AA23">
        <v>2.6701947193479864E-3</v>
      </c>
      <c r="AB23">
        <v>2.6768624960499471E-3</v>
      </c>
      <c r="AC23">
        <v>2.6823517245824673E-3</v>
      </c>
      <c r="AD23">
        <v>2.7122020813314229E-3</v>
      </c>
      <c r="AE23">
        <v>-2.4090436641729116E-5</v>
      </c>
      <c r="AF23">
        <v>1.2783688745070763E-4</v>
      </c>
      <c r="AG23">
        <v>1.0932404209869229E-4</v>
      </c>
      <c r="AH23">
        <v>1.3124002318400771E-3</v>
      </c>
      <c r="AI23">
        <v>1.046505536183667E-3</v>
      </c>
      <c r="AJ23">
        <v>-5.3204761849445109E-4</v>
      </c>
      <c r="AK23">
        <v>3.2862067796679086E-3</v>
      </c>
    </row>
    <row r="24" spans="1:37" x14ac:dyDescent="0.2">
      <c r="A24" t="s">
        <v>62</v>
      </c>
      <c r="B24">
        <v>5.3409472160713706E-2</v>
      </c>
      <c r="C24">
        <v>-7.9415749256403012E-5</v>
      </c>
      <c r="D24">
        <v>-2.1915515324403417E-4</v>
      </c>
      <c r="E24">
        <v>1.7206505232030445E-6</v>
      </c>
      <c r="F24">
        <v>4.1107701361967769E-5</v>
      </c>
      <c r="G24">
        <v>3.011028794305435E-5</v>
      </c>
      <c r="H24">
        <v>3.2024434566479227E-7</v>
      </c>
      <c r="I24">
        <v>-3.0332340447509221E-6</v>
      </c>
      <c r="J24">
        <v>8.5722453964595939E-5</v>
      </c>
      <c r="K24">
        <v>2.51605504856681E-5</v>
      </c>
      <c r="L24">
        <v>-2.192357688889637E-4</v>
      </c>
      <c r="M24">
        <v>-1.1102932411283324E-4</v>
      </c>
      <c r="N24">
        <v>4.1785545165508623E-5</v>
      </c>
      <c r="O24">
        <v>-9.5540126501064042E-5</v>
      </c>
      <c r="P24">
        <v>-2.8681225117831795E-4</v>
      </c>
      <c r="Q24">
        <v>-7.5020845969721544E-5</v>
      </c>
      <c r="R24">
        <v>-1.2548256158406192E-4</v>
      </c>
      <c r="S24">
        <v>6.2735443432025435E-5</v>
      </c>
      <c r="T24">
        <v>2.6989598828957295E-3</v>
      </c>
      <c r="U24">
        <v>2.6459158801001781E-3</v>
      </c>
      <c r="V24">
        <v>2.6363398773641632E-3</v>
      </c>
      <c r="W24">
        <v>2.8752440246965533E-3</v>
      </c>
      <c r="X24">
        <v>2.6383029892533632E-3</v>
      </c>
      <c r="Y24">
        <v>3.7976587452227227E-3</v>
      </c>
      <c r="Z24">
        <v>2.6573339096362097E-3</v>
      </c>
      <c r="AA24">
        <v>2.6820281831748298E-3</v>
      </c>
      <c r="AB24">
        <v>2.6729043309092269E-3</v>
      </c>
      <c r="AC24">
        <v>2.6845686526477406E-3</v>
      </c>
      <c r="AD24">
        <v>2.7173308446087428E-3</v>
      </c>
      <c r="AE24">
        <v>-1.1858944326786371E-5</v>
      </c>
      <c r="AF24">
        <v>2.0033731522924378E-5</v>
      </c>
      <c r="AG24">
        <v>-2.9668392257857382E-5</v>
      </c>
      <c r="AH24">
        <v>1.5588593586346616E-3</v>
      </c>
      <c r="AI24">
        <v>1.299774179940278E-3</v>
      </c>
      <c r="AJ24">
        <v>-4.8572794048193455E-4</v>
      </c>
      <c r="AK24">
        <v>4.7835545734878759E-3</v>
      </c>
    </row>
    <row r="25" spans="1:37" x14ac:dyDescent="0.2">
      <c r="A25" t="s">
        <v>63</v>
      </c>
      <c r="B25">
        <v>3.6483824597415337E-2</v>
      </c>
      <c r="C25">
        <v>-9.1012630208759813E-5</v>
      </c>
      <c r="D25">
        <v>-1.7850416467435695E-4</v>
      </c>
      <c r="E25">
        <v>1.4212110718511987E-6</v>
      </c>
      <c r="F25">
        <v>6.5102817090578182E-5</v>
      </c>
      <c r="G25">
        <v>6.2594767561201248E-5</v>
      </c>
      <c r="H25">
        <v>-2.864511432750579E-7</v>
      </c>
      <c r="I25">
        <v>-1.51026731611473E-6</v>
      </c>
      <c r="J25">
        <v>4.765347992586981E-5</v>
      </c>
      <c r="K25">
        <v>1.1722927100996268E-5</v>
      </c>
      <c r="L25">
        <v>-2.2545123333635175E-4</v>
      </c>
      <c r="M25">
        <v>-1.2523563364044555E-4</v>
      </c>
      <c r="N25">
        <v>5.2478640290093902E-5</v>
      </c>
      <c r="O25">
        <v>-9.0112602034827637E-5</v>
      </c>
      <c r="P25">
        <v>-3.0986130662663362E-4</v>
      </c>
      <c r="Q25">
        <v>-9.8629989278121153E-5</v>
      </c>
      <c r="R25">
        <v>-1.7717369935453964E-4</v>
      </c>
      <c r="S25">
        <v>6.5107524138756931E-5</v>
      </c>
      <c r="T25">
        <v>2.7048991247228945E-3</v>
      </c>
      <c r="U25">
        <v>2.6596177963680652E-3</v>
      </c>
      <c r="V25">
        <v>2.6446131724438531E-3</v>
      </c>
      <c r="W25">
        <v>2.9007632452119712E-3</v>
      </c>
      <c r="X25">
        <v>2.6421903158761464E-3</v>
      </c>
      <c r="Y25">
        <v>2.6573339096362097E-3</v>
      </c>
      <c r="Z25">
        <v>3.5275245809829325E-3</v>
      </c>
      <c r="AA25">
        <v>2.6961149925192117E-3</v>
      </c>
      <c r="AB25">
        <v>2.6844619716202608E-3</v>
      </c>
      <c r="AC25">
        <v>2.6988093533894756E-3</v>
      </c>
      <c r="AD25">
        <v>2.7227112168859806E-3</v>
      </c>
      <c r="AE25">
        <v>-1.3132186507249026E-5</v>
      </c>
      <c r="AF25">
        <v>1.9000062742784954E-5</v>
      </c>
      <c r="AG25">
        <v>-3.472041142653758E-5</v>
      </c>
      <c r="AH25">
        <v>1.6544608131339599E-3</v>
      </c>
      <c r="AI25">
        <v>1.1585388197121213E-3</v>
      </c>
      <c r="AJ25">
        <v>-4.7697517679799717E-4</v>
      </c>
      <c r="AK25">
        <v>3.4180959073727476E-3</v>
      </c>
    </row>
    <row r="26" spans="1:37" x14ac:dyDescent="0.2">
      <c r="A26" t="s">
        <v>64</v>
      </c>
      <c r="B26">
        <v>4.3423694246496253E-2</v>
      </c>
      <c r="C26">
        <v>-1.061572727405456E-4</v>
      </c>
      <c r="D26">
        <v>-1.997532489986277E-4</v>
      </c>
      <c r="E26">
        <v>1.6106581665929558E-6</v>
      </c>
      <c r="F26">
        <v>7.7103620104843258E-5</v>
      </c>
      <c r="G26">
        <v>1.2476559147287685E-4</v>
      </c>
      <c r="H26">
        <v>6.8239239650322097E-7</v>
      </c>
      <c r="I26">
        <v>-2.3193086197211918E-6</v>
      </c>
      <c r="J26">
        <v>4.9357137702018498E-5</v>
      </c>
      <c r="K26">
        <v>1.8441950736204291E-5</v>
      </c>
      <c r="L26">
        <v>-1.6942530092480153E-4</v>
      </c>
      <c r="M26">
        <v>-9.3759870109040057E-5</v>
      </c>
      <c r="N26">
        <v>3.5417719214549776E-6</v>
      </c>
      <c r="O26">
        <v>-6.6994065652757227E-5</v>
      </c>
      <c r="P26">
        <v>-2.5141624604917731E-4</v>
      </c>
      <c r="Q26">
        <v>3.4494869863869017E-5</v>
      </c>
      <c r="R26">
        <v>-1.378192709660872E-5</v>
      </c>
      <c r="S26">
        <v>3.7339325410253163E-5</v>
      </c>
      <c r="T26">
        <v>2.7345489303218103E-3</v>
      </c>
      <c r="U26">
        <v>2.6878339639631972E-3</v>
      </c>
      <c r="V26">
        <v>2.6710170338987869E-3</v>
      </c>
      <c r="W26">
        <v>2.9561806413237581E-3</v>
      </c>
      <c r="X26">
        <v>2.6701947193479864E-3</v>
      </c>
      <c r="Y26">
        <v>2.6820281831748298E-3</v>
      </c>
      <c r="Z26">
        <v>2.6961149925192117E-3</v>
      </c>
      <c r="AA26">
        <v>3.8154552365689169E-3</v>
      </c>
      <c r="AB26">
        <v>2.7112782633658336E-3</v>
      </c>
      <c r="AC26">
        <v>2.7252014380673563E-3</v>
      </c>
      <c r="AD26">
        <v>2.7558614623224937E-3</v>
      </c>
      <c r="AE26">
        <v>-1.4999001954861508E-5</v>
      </c>
      <c r="AF26">
        <v>5.0811399663066746E-5</v>
      </c>
      <c r="AG26">
        <v>-1.8269531918556358E-5</v>
      </c>
      <c r="AH26">
        <v>1.8054228395033864E-3</v>
      </c>
      <c r="AI26">
        <v>1.3181614382234922E-3</v>
      </c>
      <c r="AJ26">
        <v>-4.5673625071830214E-4</v>
      </c>
      <c r="AK26">
        <v>3.8667377617547594E-3</v>
      </c>
    </row>
    <row r="27" spans="1:37" x14ac:dyDescent="0.2">
      <c r="A27" t="s">
        <v>65</v>
      </c>
      <c r="B27">
        <v>0.11368541264941412</v>
      </c>
      <c r="C27">
        <v>-1.0874415870808501E-4</v>
      </c>
      <c r="D27">
        <v>-1.7735663802575727E-4</v>
      </c>
      <c r="E27">
        <v>1.46227999574906E-6</v>
      </c>
      <c r="F27">
        <v>7.673299550181283E-5</v>
      </c>
      <c r="G27">
        <v>5.6895061844752467E-5</v>
      </c>
      <c r="H27">
        <v>9.8633617700483363E-7</v>
      </c>
      <c r="I27">
        <v>1.3339695296634032E-6</v>
      </c>
      <c r="J27">
        <v>3.7810867106729835E-5</v>
      </c>
      <c r="K27">
        <v>3.0336478610223233E-5</v>
      </c>
      <c r="L27">
        <v>-1.7605170800144565E-4</v>
      </c>
      <c r="M27">
        <v>-1.2689619076027277E-4</v>
      </c>
      <c r="N27">
        <v>1.5676241696744382E-5</v>
      </c>
      <c r="O27">
        <v>-1.1458018415532074E-4</v>
      </c>
      <c r="P27">
        <v>-2.9485208585204744E-4</v>
      </c>
      <c r="Q27">
        <v>-5.8376146036528964E-5</v>
      </c>
      <c r="R27">
        <v>-9.0813976172197681E-5</v>
      </c>
      <c r="S27">
        <v>2.9730759393105204E-5</v>
      </c>
      <c r="T27">
        <v>2.7466961563768124E-3</v>
      </c>
      <c r="U27">
        <v>2.6842296685982547E-3</v>
      </c>
      <c r="V27">
        <v>2.6676071152200876E-3</v>
      </c>
      <c r="W27">
        <v>2.9306384085303386E-3</v>
      </c>
      <c r="X27">
        <v>2.6768624960499471E-3</v>
      </c>
      <c r="Y27">
        <v>2.6729043309092269E-3</v>
      </c>
      <c r="Z27">
        <v>2.6844619716202608E-3</v>
      </c>
      <c r="AA27">
        <v>2.7112782633658336E-3</v>
      </c>
      <c r="AB27">
        <v>4.2852572713095024E-3</v>
      </c>
      <c r="AC27">
        <v>2.726546021461215E-3</v>
      </c>
      <c r="AD27">
        <v>2.7545234794928704E-3</v>
      </c>
      <c r="AE27">
        <v>-1.3612021896296575E-5</v>
      </c>
      <c r="AF27">
        <v>1.1882195007055607E-5</v>
      </c>
      <c r="AG27">
        <v>-6.0013406593383104E-5</v>
      </c>
      <c r="AH27">
        <v>1.7294492904997038E-3</v>
      </c>
      <c r="AI27">
        <v>1.2974149043252421E-3</v>
      </c>
      <c r="AJ27">
        <v>-3.5238215635413178E-4</v>
      </c>
      <c r="AK27">
        <v>2.9465628022475971E-3</v>
      </c>
    </row>
    <row r="28" spans="1:37" x14ac:dyDescent="0.2">
      <c r="A28" t="s">
        <v>66</v>
      </c>
      <c r="B28">
        <v>8.3279836171085947E-2</v>
      </c>
      <c r="C28">
        <v>-1.3981323985725583E-4</v>
      </c>
      <c r="D28">
        <v>-1.9137172784688961E-4</v>
      </c>
      <c r="E28">
        <v>1.5439466580096674E-6</v>
      </c>
      <c r="F28">
        <v>4.7783851454128991E-5</v>
      </c>
      <c r="G28">
        <v>8.2262188763483949E-5</v>
      </c>
      <c r="H28">
        <v>3.3446114646777333E-7</v>
      </c>
      <c r="I28">
        <v>-7.5960542783472788E-7</v>
      </c>
      <c r="J28">
        <v>7.2013749749916017E-5</v>
      </c>
      <c r="K28">
        <v>3.4194373802697541E-5</v>
      </c>
      <c r="L28">
        <v>-2.4402787920398778E-4</v>
      </c>
      <c r="M28">
        <v>-1.3581781385477477E-4</v>
      </c>
      <c r="N28">
        <v>5.6823563094016945E-5</v>
      </c>
      <c r="O28">
        <v>3.8640425591614843E-5</v>
      </c>
      <c r="P28">
        <v>-2.5312978662154432E-4</v>
      </c>
      <c r="Q28">
        <v>-7.1926177295426972E-6</v>
      </c>
      <c r="R28">
        <v>-2.9188270194577086E-5</v>
      </c>
      <c r="S28">
        <v>-1.6620461376627618E-5</v>
      </c>
      <c r="T28">
        <v>2.7648862610188439E-3</v>
      </c>
      <c r="U28">
        <v>2.6954153209061381E-3</v>
      </c>
      <c r="V28">
        <v>2.6836880510053484E-3</v>
      </c>
      <c r="W28">
        <v>2.9585602227152254E-3</v>
      </c>
      <c r="X28">
        <v>2.6823517245824673E-3</v>
      </c>
      <c r="Y28">
        <v>2.6845686526477406E-3</v>
      </c>
      <c r="Z28">
        <v>2.6988093533894756E-3</v>
      </c>
      <c r="AA28">
        <v>2.7252014380673563E-3</v>
      </c>
      <c r="AB28">
        <v>2.726546021461215E-3</v>
      </c>
      <c r="AC28">
        <v>3.9490694182338446E-3</v>
      </c>
      <c r="AD28">
        <v>2.7797569940685861E-3</v>
      </c>
      <c r="AE28">
        <v>-1.8493266869197463E-5</v>
      </c>
      <c r="AF28">
        <v>1.4282755771426059E-4</v>
      </c>
      <c r="AG28">
        <v>3.5639970895610492E-5</v>
      </c>
      <c r="AH28">
        <v>1.7769958970957488E-3</v>
      </c>
      <c r="AI28">
        <v>1.3241254670822509E-3</v>
      </c>
      <c r="AJ28">
        <v>-3.476578675115947E-4</v>
      </c>
      <c r="AK28">
        <v>3.6431947301365985E-3</v>
      </c>
    </row>
    <row r="29" spans="1:37" x14ac:dyDescent="0.2">
      <c r="A29" t="s">
        <v>67</v>
      </c>
      <c r="B29">
        <v>0.10173581851875015</v>
      </c>
      <c r="C29">
        <v>-1.4487646141360237E-4</v>
      </c>
      <c r="D29">
        <v>-1.5108562566046313E-4</v>
      </c>
      <c r="E29">
        <v>1.254863071481645E-6</v>
      </c>
      <c r="F29">
        <v>4.7056397075119169E-5</v>
      </c>
      <c r="G29">
        <v>2.2916174841617416E-5</v>
      </c>
      <c r="H29">
        <v>-2.3231426097495688E-7</v>
      </c>
      <c r="I29">
        <v>-2.5852090172695465E-6</v>
      </c>
      <c r="J29">
        <v>3.2203629062025523E-5</v>
      </c>
      <c r="K29">
        <v>-1.2523633482637402E-4</v>
      </c>
      <c r="L29">
        <v>-1.5217333784082847E-4</v>
      </c>
      <c r="M29">
        <v>-1.64133149487915E-4</v>
      </c>
      <c r="N29">
        <v>9.8704348400166324E-5</v>
      </c>
      <c r="O29">
        <v>-1.9091847918614388E-5</v>
      </c>
      <c r="P29">
        <v>-2.009896121758217E-4</v>
      </c>
      <c r="Q29">
        <v>8.147210400611467E-5</v>
      </c>
      <c r="R29">
        <v>5.378228008637298E-5</v>
      </c>
      <c r="S29">
        <v>-5.7833840809134746E-5</v>
      </c>
      <c r="T29">
        <v>2.7965008556145119E-3</v>
      </c>
      <c r="U29">
        <v>2.7200988268549445E-3</v>
      </c>
      <c r="V29">
        <v>2.7202911049568467E-3</v>
      </c>
      <c r="W29">
        <v>2.9859186866155697E-3</v>
      </c>
      <c r="X29">
        <v>2.7122020813314229E-3</v>
      </c>
      <c r="Y29">
        <v>2.7173308446087428E-3</v>
      </c>
      <c r="Z29">
        <v>2.7227112168859806E-3</v>
      </c>
      <c r="AA29">
        <v>2.7558614623224937E-3</v>
      </c>
      <c r="AB29">
        <v>2.7545234794928704E-3</v>
      </c>
      <c r="AC29">
        <v>2.7797569940685861E-3</v>
      </c>
      <c r="AD29">
        <v>4.9445955437623507E-3</v>
      </c>
      <c r="AE29">
        <v>-1.8371290627885694E-5</v>
      </c>
      <c r="AF29">
        <v>-2.7115089940532263E-5</v>
      </c>
      <c r="AG29">
        <v>2.6096834048657398E-6</v>
      </c>
      <c r="AH29">
        <v>1.8859250006422706E-3</v>
      </c>
      <c r="AI29">
        <v>1.3376678045226909E-3</v>
      </c>
      <c r="AJ29">
        <v>-3.716568843889573E-4</v>
      </c>
      <c r="AK29">
        <v>2.3303695638439061E-3</v>
      </c>
    </row>
    <row r="30" spans="1:37" x14ac:dyDescent="0.2">
      <c r="A30" t="s">
        <v>77</v>
      </c>
      <c r="B30">
        <v>-1.250326305429196E-3</v>
      </c>
      <c r="C30">
        <v>1.0162128338978078E-5</v>
      </c>
      <c r="D30">
        <v>7.8490127596204939E-8</v>
      </c>
      <c r="E30">
        <v>-3.2511178059864692E-8</v>
      </c>
      <c r="F30">
        <v>-1.3665483927623599E-6</v>
      </c>
      <c r="G30">
        <v>1.5195564765366641E-5</v>
      </c>
      <c r="H30">
        <v>4.9097869274816836E-7</v>
      </c>
      <c r="I30">
        <v>8.369742555848611E-7</v>
      </c>
      <c r="J30">
        <v>3.2893393993980844E-5</v>
      </c>
      <c r="K30">
        <v>6.7686322227449545E-6</v>
      </c>
      <c r="L30">
        <v>6.2210124049624132E-6</v>
      </c>
      <c r="M30">
        <v>-6.8730494535539602E-6</v>
      </c>
      <c r="N30">
        <v>1.3348089037231718E-5</v>
      </c>
      <c r="O30">
        <v>-3.7604504412725565E-6</v>
      </c>
      <c r="P30">
        <v>-1.4608143271239646E-6</v>
      </c>
      <c r="Q30">
        <v>1.3458493275421153E-6</v>
      </c>
      <c r="R30">
        <v>-6.3393396944794221E-6</v>
      </c>
      <c r="S30">
        <v>-3.4904252157705079E-6</v>
      </c>
      <c r="T30">
        <v>-2.0558988138085383E-5</v>
      </c>
      <c r="U30">
        <v>-1.7079525334424159E-5</v>
      </c>
      <c r="V30">
        <v>-1.2617337533954215E-5</v>
      </c>
      <c r="W30">
        <v>1.2983038494071694E-5</v>
      </c>
      <c r="X30">
        <v>-2.4090436641729116E-5</v>
      </c>
      <c r="Y30">
        <v>-1.1858944326786371E-5</v>
      </c>
      <c r="Z30">
        <v>-1.3132186507249026E-5</v>
      </c>
      <c r="AA30">
        <v>-1.4999001954861508E-5</v>
      </c>
      <c r="AB30">
        <v>-1.3612021896296575E-5</v>
      </c>
      <c r="AC30">
        <v>-1.8493266869197463E-5</v>
      </c>
      <c r="AD30">
        <v>-1.8371290627885694E-5</v>
      </c>
      <c r="AE30">
        <v>1.3004199413486788E-5</v>
      </c>
      <c r="AF30">
        <v>-4.7864226631999715E-5</v>
      </c>
      <c r="AG30">
        <v>-6.0436197711771443E-5</v>
      </c>
      <c r="AH30">
        <v>7.3052885747356203E-5</v>
      </c>
      <c r="AI30">
        <v>-3.8700543223929969E-5</v>
      </c>
      <c r="AJ30">
        <v>4.2802101195526583E-5</v>
      </c>
      <c r="AK30">
        <v>-1.6270687900734845E-4</v>
      </c>
    </row>
    <row r="31" spans="1:37" x14ac:dyDescent="0.2">
      <c r="A31" t="s">
        <v>68</v>
      </c>
      <c r="B31">
        <v>-4.8458251214821196E-2</v>
      </c>
      <c r="C31">
        <v>-2.3453540408400979E-5</v>
      </c>
      <c r="D31">
        <v>2.2837210076902432E-5</v>
      </c>
      <c r="E31">
        <v>-1.3026563646434655E-7</v>
      </c>
      <c r="F31">
        <v>4.5176933080205687E-5</v>
      </c>
      <c r="G31">
        <v>1.5078396633681066E-5</v>
      </c>
      <c r="H31">
        <v>-4.9007674781459265E-7</v>
      </c>
      <c r="I31">
        <v>1.3910729597229638E-7</v>
      </c>
      <c r="J31">
        <v>-6.7645972862828024E-6</v>
      </c>
      <c r="K31">
        <v>1.1182533078298723E-5</v>
      </c>
      <c r="L31">
        <v>-4.1269067807895286E-5</v>
      </c>
      <c r="M31">
        <v>1.8514119337445652E-5</v>
      </c>
      <c r="N31">
        <v>-4.3856560160834948E-5</v>
      </c>
      <c r="O31">
        <v>-6.4192070363883582E-5</v>
      </c>
      <c r="P31">
        <v>-1.7809960616802981E-4</v>
      </c>
      <c r="Q31">
        <v>-1.7842705781973516E-4</v>
      </c>
      <c r="R31">
        <v>-1.3073894500762481E-4</v>
      </c>
      <c r="S31">
        <v>2.0587389307758961E-5</v>
      </c>
      <c r="T31">
        <v>-1.9156243986151802E-5</v>
      </c>
      <c r="U31">
        <v>6.1763610492837216E-6</v>
      </c>
      <c r="V31">
        <v>6.7605234115890615E-5</v>
      </c>
      <c r="W31">
        <v>-8.1814080730243033E-5</v>
      </c>
      <c r="X31">
        <v>1.2783688745070763E-4</v>
      </c>
      <c r="Y31">
        <v>2.0033731522924378E-5</v>
      </c>
      <c r="Z31">
        <v>1.9000062742784954E-5</v>
      </c>
      <c r="AA31">
        <v>5.0811399663066746E-5</v>
      </c>
      <c r="AB31">
        <v>1.1882195007055607E-5</v>
      </c>
      <c r="AC31">
        <v>1.4282755771426059E-4</v>
      </c>
      <c r="AD31">
        <v>-2.7115089940532263E-5</v>
      </c>
      <c r="AE31">
        <v>-4.7864226631999715E-5</v>
      </c>
      <c r="AF31">
        <v>2.0935115231285896E-3</v>
      </c>
      <c r="AG31">
        <v>3.6035562474077498E-4</v>
      </c>
      <c r="AH31">
        <v>-3.289250101662553E-4</v>
      </c>
      <c r="AI31">
        <v>6.4482656747824781E-5</v>
      </c>
      <c r="AJ31">
        <v>-2.2079312222567332E-4</v>
      </c>
      <c r="AK31">
        <v>-1.3084040521586327E-4</v>
      </c>
    </row>
    <row r="32" spans="1:37" x14ac:dyDescent="0.2">
      <c r="A32" t="s">
        <v>69</v>
      </c>
      <c r="B32">
        <v>4.5910599123733915E-2</v>
      </c>
      <c r="C32">
        <v>-2.7265291777788837E-5</v>
      </c>
      <c r="D32">
        <v>8.0655170984315471E-5</v>
      </c>
      <c r="E32">
        <v>-5.8967962369185474E-7</v>
      </c>
      <c r="F32">
        <v>1.5171779295661724E-5</v>
      </c>
      <c r="G32">
        <v>-5.2653986414924316E-5</v>
      </c>
      <c r="H32">
        <v>-1.0194135377096504E-6</v>
      </c>
      <c r="I32">
        <v>-1.626799172442547E-7</v>
      </c>
      <c r="J32">
        <v>-3.1980213818294872E-5</v>
      </c>
      <c r="K32">
        <v>9.2664659280258539E-5</v>
      </c>
      <c r="L32">
        <v>-4.542638416967583E-5</v>
      </c>
      <c r="M32">
        <v>-3.2029852000093111E-5</v>
      </c>
      <c r="N32">
        <v>-8.6046620779482732E-8</v>
      </c>
      <c r="O32">
        <v>4.0625830921731403E-5</v>
      </c>
      <c r="P32">
        <v>-7.5715752952604267E-5</v>
      </c>
      <c r="Q32">
        <v>-3.9876368257422124E-5</v>
      </c>
      <c r="R32">
        <v>-3.0022754991559524E-5</v>
      </c>
      <c r="S32">
        <v>5.8612399539937512E-5</v>
      </c>
      <c r="T32">
        <v>1.376457475656626E-4</v>
      </c>
      <c r="U32">
        <v>-2.601776545945139E-5</v>
      </c>
      <c r="V32">
        <v>-3.364244881887894E-5</v>
      </c>
      <c r="W32">
        <v>-1.8108981637578528E-4</v>
      </c>
      <c r="X32">
        <v>1.0932404209869229E-4</v>
      </c>
      <c r="Y32">
        <v>-2.9668392257857382E-5</v>
      </c>
      <c r="Z32">
        <v>-3.472041142653758E-5</v>
      </c>
      <c r="AA32">
        <v>-1.8269531918556358E-5</v>
      </c>
      <c r="AB32">
        <v>-6.0013406593383104E-5</v>
      </c>
      <c r="AC32">
        <v>3.5639970895610492E-5</v>
      </c>
      <c r="AD32">
        <v>2.6096834048657398E-6</v>
      </c>
      <c r="AE32">
        <v>-6.0436197711771443E-5</v>
      </c>
      <c r="AF32">
        <v>3.6035562474077498E-4</v>
      </c>
      <c r="AG32">
        <v>2.3015827290327213E-3</v>
      </c>
      <c r="AH32">
        <v>-3.3582636053356622E-4</v>
      </c>
      <c r="AI32">
        <v>8.4352639747980931E-5</v>
      </c>
      <c r="AJ32">
        <v>-3.9593619588047368E-4</v>
      </c>
      <c r="AK32">
        <v>-1.7173817088983489E-3</v>
      </c>
    </row>
    <row r="33" spans="1:37" x14ac:dyDescent="0.2">
      <c r="A33" t="s">
        <v>70</v>
      </c>
      <c r="B33">
        <v>-0.10590208254224331</v>
      </c>
      <c r="C33">
        <v>-1.6849243727414356E-4</v>
      </c>
      <c r="D33">
        <v>-8.3373485751388893E-4</v>
      </c>
      <c r="E33">
        <v>6.2912148195398807E-6</v>
      </c>
      <c r="F33">
        <v>4.2789019717566653E-4</v>
      </c>
      <c r="G33">
        <v>9.2952403707881239E-4</v>
      </c>
      <c r="H33">
        <v>1.8140153537579785E-5</v>
      </c>
      <c r="I33">
        <v>2.2607428132705593E-5</v>
      </c>
      <c r="J33">
        <v>1.4749057540722308E-4</v>
      </c>
      <c r="K33">
        <v>3.3231486574715995E-4</v>
      </c>
      <c r="L33">
        <v>-7.8044436726910828E-4</v>
      </c>
      <c r="M33">
        <v>-4.3101120499286797E-4</v>
      </c>
      <c r="N33">
        <v>1.7930030439288462E-4</v>
      </c>
      <c r="O33">
        <v>8.315910487289354E-5</v>
      </c>
      <c r="P33">
        <v>6.126086069432532E-5</v>
      </c>
      <c r="Q33">
        <v>9.8969571091831235E-4</v>
      </c>
      <c r="R33">
        <v>2.055424646331622E-4</v>
      </c>
      <c r="S33">
        <v>7.6673545360437124E-4</v>
      </c>
      <c r="T33">
        <v>1.7317893508796659E-3</v>
      </c>
      <c r="U33">
        <v>1.5637610695035642E-3</v>
      </c>
      <c r="V33">
        <v>1.3617784303921938E-3</v>
      </c>
      <c r="W33">
        <v>3.7453478749548087E-3</v>
      </c>
      <c r="X33">
        <v>1.3124002318400771E-3</v>
      </c>
      <c r="Y33">
        <v>1.5588593586346616E-3</v>
      </c>
      <c r="Z33">
        <v>1.6544608131339599E-3</v>
      </c>
      <c r="AA33">
        <v>1.8054228395033864E-3</v>
      </c>
      <c r="AB33">
        <v>1.7294492904997038E-3</v>
      </c>
      <c r="AC33">
        <v>1.7769958970957488E-3</v>
      </c>
      <c r="AD33">
        <v>1.8859250006422706E-3</v>
      </c>
      <c r="AE33">
        <v>7.3052885747356203E-5</v>
      </c>
      <c r="AF33">
        <v>-3.289250101662553E-4</v>
      </c>
      <c r="AG33">
        <v>-3.3582636053356622E-4</v>
      </c>
      <c r="AH33">
        <v>1.0761279260889149E-2</v>
      </c>
      <c r="AI33">
        <v>9.3661602946947637E-4</v>
      </c>
      <c r="AJ33">
        <v>1.3163985147076859E-4</v>
      </c>
      <c r="AK33">
        <v>2.1662651637781787E-2</v>
      </c>
    </row>
    <row r="34" spans="1:37" x14ac:dyDescent="0.2">
      <c r="A34" t="s">
        <v>71</v>
      </c>
      <c r="B34">
        <v>-0.496778825220408</v>
      </c>
      <c r="C34">
        <v>-1.1026528545187288E-4</v>
      </c>
      <c r="D34">
        <v>-2.7024915224356863E-4</v>
      </c>
      <c r="E34">
        <v>2.2156793995731314E-6</v>
      </c>
      <c r="F34">
        <v>2.3798470834860607E-4</v>
      </c>
      <c r="G34">
        <v>2.5544460762169348E-4</v>
      </c>
      <c r="H34">
        <v>-1.4376216278117864E-6</v>
      </c>
      <c r="I34">
        <v>-2.2315121399743223E-6</v>
      </c>
      <c r="J34">
        <v>-1.1640705395844862E-5</v>
      </c>
      <c r="K34">
        <v>-7.7980453200177102E-5</v>
      </c>
      <c r="L34">
        <v>-1.4083739086847517E-4</v>
      </c>
      <c r="M34">
        <v>7.3520470893190639E-7</v>
      </c>
      <c r="N34">
        <v>-2.8752949195567711E-5</v>
      </c>
      <c r="O34">
        <v>-6.707838256518172E-5</v>
      </c>
      <c r="P34">
        <v>-8.4708434244003348E-5</v>
      </c>
      <c r="Q34">
        <v>6.2118339098118838E-5</v>
      </c>
      <c r="R34">
        <v>1.6045009566016373E-4</v>
      </c>
      <c r="S34">
        <v>6.2689569632612234E-5</v>
      </c>
      <c r="T34">
        <v>1.3329598505165885E-3</v>
      </c>
      <c r="U34">
        <v>1.2143158811348496E-3</v>
      </c>
      <c r="V34">
        <v>1.2686456158567975E-3</v>
      </c>
      <c r="W34">
        <v>1.3508951173299068E-3</v>
      </c>
      <c r="X34">
        <v>1.046505536183667E-3</v>
      </c>
      <c r="Y34">
        <v>1.299774179940278E-3</v>
      </c>
      <c r="Z34">
        <v>1.1585388197121213E-3</v>
      </c>
      <c r="AA34">
        <v>1.3181614382234922E-3</v>
      </c>
      <c r="AB34">
        <v>1.2974149043252421E-3</v>
      </c>
      <c r="AC34">
        <v>1.3241254670822509E-3</v>
      </c>
      <c r="AD34">
        <v>1.3376678045226909E-3</v>
      </c>
      <c r="AE34">
        <v>-3.8700543223929969E-5</v>
      </c>
      <c r="AF34">
        <v>6.4482656747824781E-5</v>
      </c>
      <c r="AG34">
        <v>8.4352639747980931E-5</v>
      </c>
      <c r="AH34">
        <v>9.3661602946947637E-4</v>
      </c>
      <c r="AI34">
        <v>1.4191463460206093E-2</v>
      </c>
      <c r="AJ34">
        <v>-7.0405906396886462E-5</v>
      </c>
      <c r="AK34">
        <v>7.5507556610548013E-3</v>
      </c>
    </row>
    <row r="35" spans="1:37" x14ac:dyDescent="0.2">
      <c r="A35" t="s">
        <v>72</v>
      </c>
      <c r="B35">
        <v>-8.2511381363542233E-2</v>
      </c>
      <c r="C35">
        <v>-1.0897269162518674E-4</v>
      </c>
      <c r="D35">
        <v>-5.6989290483304422E-5</v>
      </c>
      <c r="E35">
        <v>3.6316603936619894E-7</v>
      </c>
      <c r="F35">
        <v>-1.0550372288871567E-4</v>
      </c>
      <c r="G35">
        <v>-4.6184744436537808E-5</v>
      </c>
      <c r="H35">
        <v>-3.1762043045340701E-6</v>
      </c>
      <c r="I35">
        <v>5.7675289488952577E-6</v>
      </c>
      <c r="J35">
        <v>-6.1074970152520105E-5</v>
      </c>
      <c r="K35">
        <v>2.4653306091413328E-4</v>
      </c>
      <c r="L35">
        <v>-5.4224554898046418E-4</v>
      </c>
      <c r="M35">
        <v>-1.6500221787909191E-4</v>
      </c>
      <c r="N35">
        <v>1.6789346649559702E-4</v>
      </c>
      <c r="O35">
        <v>-1.860429349241795E-4</v>
      </c>
      <c r="P35">
        <v>-2.3942519875688371E-4</v>
      </c>
      <c r="Q35">
        <v>-3.1926678645715354E-4</v>
      </c>
      <c r="R35">
        <v>-2.2480670849015123E-4</v>
      </c>
      <c r="S35">
        <v>2.4263108876943678E-4</v>
      </c>
      <c r="T35">
        <v>-2.9392263015029865E-4</v>
      </c>
      <c r="U35">
        <v>-4.7648176891071543E-4</v>
      </c>
      <c r="V35">
        <v>-4.6013430799218152E-4</v>
      </c>
      <c r="W35">
        <v>-4.1290270972204251E-4</v>
      </c>
      <c r="X35">
        <v>-5.3204761849445109E-4</v>
      </c>
      <c r="Y35">
        <v>-4.8572794048193455E-4</v>
      </c>
      <c r="Z35">
        <v>-4.7697517679799717E-4</v>
      </c>
      <c r="AA35">
        <v>-4.5673625071830214E-4</v>
      </c>
      <c r="AB35">
        <v>-3.5238215635413178E-4</v>
      </c>
      <c r="AC35">
        <v>-3.476578675115947E-4</v>
      </c>
      <c r="AD35">
        <v>-3.716568843889573E-4</v>
      </c>
      <c r="AE35">
        <v>4.2802101195526583E-5</v>
      </c>
      <c r="AF35">
        <v>-2.2079312222567332E-4</v>
      </c>
      <c r="AG35">
        <v>-3.9593619588047368E-4</v>
      </c>
      <c r="AH35">
        <v>1.3163985147076859E-4</v>
      </c>
      <c r="AI35">
        <v>-7.0405906396886462E-5</v>
      </c>
      <c r="AJ35">
        <v>1.9986789258916771E-2</v>
      </c>
      <c r="AK35">
        <v>1.9880726238179752E-3</v>
      </c>
    </row>
    <row r="36" spans="1:37" x14ac:dyDescent="0.2">
      <c r="A36" t="s">
        <v>29</v>
      </c>
      <c r="B36">
        <v>-28.895243439225112</v>
      </c>
      <c r="C36">
        <v>-2.9490861002779076E-3</v>
      </c>
      <c r="D36">
        <v>-4.7990293762680519E-2</v>
      </c>
      <c r="E36">
        <v>3.8546273381666102E-4</v>
      </c>
      <c r="F36">
        <v>2.3108054479232692E-3</v>
      </c>
      <c r="G36">
        <v>6.7893510814081952E-3</v>
      </c>
      <c r="H36">
        <v>-1.0677581451937798E-4</v>
      </c>
      <c r="I36">
        <v>-9.5657141478404373E-5</v>
      </c>
      <c r="J36">
        <v>-3.2316150663422136E-3</v>
      </c>
      <c r="K36">
        <v>-1.1995536506347854E-2</v>
      </c>
      <c r="L36">
        <v>-7.1665992587352234E-3</v>
      </c>
      <c r="M36">
        <v>-7.4034499519242173E-4</v>
      </c>
      <c r="N36">
        <v>1.4817325938999519E-4</v>
      </c>
      <c r="O36">
        <v>-5.9383850126287184E-3</v>
      </c>
      <c r="P36">
        <v>-4.1149042660478001E-3</v>
      </c>
      <c r="Q36">
        <v>-1.5958110675594762E-4</v>
      </c>
      <c r="R36">
        <v>-2.2204445184796136E-3</v>
      </c>
      <c r="S36">
        <v>4.841919194682201E-3</v>
      </c>
      <c r="T36">
        <v>1.7674576858222818E-3</v>
      </c>
      <c r="U36">
        <v>1.4682143272505693E-3</v>
      </c>
      <c r="V36">
        <v>1.4925912019428181E-3</v>
      </c>
      <c r="W36">
        <v>9.2081598150843234E-3</v>
      </c>
      <c r="X36">
        <v>3.2862067796679086E-3</v>
      </c>
      <c r="Y36">
        <v>4.7835545734878759E-3</v>
      </c>
      <c r="Z36">
        <v>3.4180959073727476E-3</v>
      </c>
      <c r="AA36">
        <v>3.8667377617547594E-3</v>
      </c>
      <c r="AB36">
        <v>2.9465628022475971E-3</v>
      </c>
      <c r="AC36">
        <v>3.6431947301365985E-3</v>
      </c>
      <c r="AD36">
        <v>2.3303695638439061E-3</v>
      </c>
      <c r="AE36">
        <v>-1.6270687900734845E-4</v>
      </c>
      <c r="AF36">
        <v>-1.3084040521586327E-4</v>
      </c>
      <c r="AG36">
        <v>-1.7173817088983489E-3</v>
      </c>
      <c r="AH36">
        <v>2.1662651637781787E-2</v>
      </c>
      <c r="AI36">
        <v>7.5507556610548013E-3</v>
      </c>
      <c r="AJ36">
        <v>1.9880726238179752E-3</v>
      </c>
      <c r="AK36">
        <v>1.4959338815265046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R1a_comp</vt:lpstr>
      <vt:lpstr>R1b_comp</vt:lpstr>
      <vt:lpstr>Info</vt:lpstr>
      <vt:lpstr>Gof</vt:lpstr>
      <vt:lpstr>R1a_orig</vt:lpstr>
      <vt:lpstr>R1b_orig</vt:lpstr>
      <vt:lpstr>R1a</vt:lpstr>
      <vt:lpstr>R1b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Sonnewald</cp:lastModifiedBy>
  <dcterms:modified xsi:type="dcterms:W3CDTF">2026-05-29T14:37:12Z</dcterms:modified>
</cp:coreProperties>
</file>