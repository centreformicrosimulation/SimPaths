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nnewald/GitHub/SimPaths/input/"/>
    </mc:Choice>
  </mc:AlternateContent>
  <xr:revisionPtr revIDLastSave="0" documentId="13_ncr:1_{88EDF0C6-69EA-D645-A1D2-BF340229CED6}" xr6:coauthVersionLast="47" xr6:coauthVersionMax="47" xr10:uidLastSave="{00000000-0000-0000-0000-000000000000}"/>
  <bookViews>
    <workbookView xWindow="0" yWindow="600" windowWidth="29040" windowHeight="15840" activeTab="4" xr2:uid="{00000000-000D-0000-FFFF-FFFF00000000}"/>
  </bookViews>
  <sheets>
    <sheet name="F1_comp" sheetId="5" r:id="rId1"/>
    <sheet name="Info" sheetId="1" r:id="rId2"/>
    <sheet name="Gof" sheetId="2" r:id="rId3"/>
    <sheet name="F1_orig" sheetId="3" r:id="rId4"/>
    <sheet name="F1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5" l="1"/>
  <c r="G31" i="5"/>
  <c r="G30" i="5"/>
  <c r="G29" i="5"/>
  <c r="G28" i="5"/>
  <c r="G26" i="5"/>
  <c r="G20" i="5"/>
  <c r="G19" i="5"/>
  <c r="G18" i="5"/>
  <c r="G17" i="5"/>
  <c r="G16" i="5"/>
  <c r="G14" i="5"/>
  <c r="G8" i="5"/>
  <c r="G7" i="5"/>
  <c r="G6" i="5"/>
  <c r="G5" i="5"/>
  <c r="G4" i="5"/>
  <c r="G2" i="5"/>
  <c r="E37" i="5"/>
  <c r="D37" i="5"/>
  <c r="E36" i="5"/>
  <c r="D36" i="5"/>
  <c r="E35" i="5"/>
  <c r="D35" i="5"/>
  <c r="E34" i="5"/>
  <c r="D34" i="5"/>
  <c r="E33" i="5"/>
  <c r="D33" i="5"/>
  <c r="E32" i="5"/>
  <c r="D32" i="5"/>
  <c r="E31" i="5"/>
  <c r="D31" i="5"/>
  <c r="E30" i="5"/>
  <c r="D30" i="5"/>
  <c r="E29" i="5"/>
  <c r="D29" i="5"/>
  <c r="E28" i="5"/>
  <c r="D28" i="5"/>
  <c r="E27" i="5"/>
  <c r="D27" i="5"/>
  <c r="E26" i="5"/>
  <c r="D26" i="5"/>
  <c r="E25" i="5"/>
  <c r="D25" i="5"/>
  <c r="E24" i="5"/>
  <c r="D24" i="5"/>
  <c r="E23" i="5"/>
  <c r="D23" i="5"/>
  <c r="E22" i="5"/>
  <c r="D22" i="5"/>
  <c r="E21" i="5"/>
  <c r="D21" i="5"/>
  <c r="E20" i="5"/>
  <c r="D20" i="5"/>
  <c r="E19" i="5"/>
  <c r="D19" i="5"/>
  <c r="E18" i="5"/>
  <c r="D18" i="5"/>
  <c r="E17" i="5"/>
  <c r="D17" i="5"/>
  <c r="E16" i="5"/>
  <c r="D16" i="5"/>
  <c r="E15" i="5"/>
  <c r="D15" i="5"/>
  <c r="E14" i="5"/>
  <c r="D14" i="5"/>
  <c r="E13" i="5"/>
  <c r="D13" i="5"/>
  <c r="E12" i="5"/>
  <c r="D12" i="5"/>
  <c r="E11" i="5"/>
  <c r="D11" i="5"/>
  <c r="E10" i="5"/>
  <c r="D10" i="5"/>
  <c r="E9" i="5"/>
  <c r="D9" i="5"/>
  <c r="E8" i="5"/>
  <c r="D8" i="5"/>
  <c r="E7" i="5"/>
  <c r="D7" i="5"/>
  <c r="E6" i="5"/>
  <c r="D6" i="5"/>
  <c r="E5" i="5"/>
  <c r="D5" i="5"/>
  <c r="E4" i="5"/>
  <c r="D4" i="5"/>
  <c r="E3" i="5"/>
  <c r="D3" i="5"/>
  <c r="E2" i="5"/>
  <c r="D2" i="5"/>
  <c r="E1" i="5"/>
  <c r="D1" i="5"/>
  <c r="B37" i="5"/>
  <c r="G37" i="5" s="1"/>
  <c r="A37" i="5"/>
  <c r="B36" i="5"/>
  <c r="G36" i="5" s="1"/>
  <c r="A36" i="5"/>
  <c r="B35" i="5"/>
  <c r="G35" i="5" s="1"/>
  <c r="A35" i="5"/>
  <c r="B34" i="5"/>
  <c r="G34" i="5" s="1"/>
  <c r="A34" i="5"/>
  <c r="B33" i="5"/>
  <c r="G33" i="5" s="1"/>
  <c r="A33" i="5"/>
  <c r="B32" i="5"/>
  <c r="A32" i="5"/>
  <c r="B31" i="5"/>
  <c r="A31" i="5"/>
  <c r="B30" i="5"/>
  <c r="A30" i="5"/>
  <c r="B29" i="5"/>
  <c r="A29" i="5"/>
  <c r="B28" i="5"/>
  <c r="A28" i="5"/>
  <c r="B27" i="5"/>
  <c r="G27" i="5" s="1"/>
  <c r="A27" i="5"/>
  <c r="B26" i="5"/>
  <c r="A26" i="5"/>
  <c r="B25" i="5"/>
  <c r="G25" i="5" s="1"/>
  <c r="A25" i="5"/>
  <c r="B24" i="5"/>
  <c r="G24" i="5" s="1"/>
  <c r="A24" i="5"/>
  <c r="B23" i="5"/>
  <c r="G23" i="5" s="1"/>
  <c r="A23" i="5"/>
  <c r="B22" i="5"/>
  <c r="G22" i="5" s="1"/>
  <c r="A22" i="5"/>
  <c r="B21" i="5"/>
  <c r="G21" i="5" s="1"/>
  <c r="A21" i="5"/>
  <c r="B20" i="5"/>
  <c r="A20" i="5"/>
  <c r="B19" i="5"/>
  <c r="A19" i="5"/>
  <c r="B18" i="5"/>
  <c r="A18" i="5"/>
  <c r="B17" i="5"/>
  <c r="A17" i="5"/>
  <c r="B16" i="5"/>
  <c r="A16" i="5"/>
  <c r="B15" i="5"/>
  <c r="G15" i="5" s="1"/>
  <c r="A15" i="5"/>
  <c r="B14" i="5"/>
  <c r="A14" i="5"/>
  <c r="B13" i="5"/>
  <c r="G13" i="5" s="1"/>
  <c r="A13" i="5"/>
  <c r="B12" i="5"/>
  <c r="G12" i="5" s="1"/>
  <c r="A12" i="5"/>
  <c r="B11" i="5"/>
  <c r="G11" i="5" s="1"/>
  <c r="A11" i="5"/>
  <c r="B10" i="5"/>
  <c r="G10" i="5" s="1"/>
  <c r="A10" i="5"/>
  <c r="B9" i="5"/>
  <c r="G9" i="5" s="1"/>
  <c r="A9" i="5"/>
  <c r="B8" i="5"/>
  <c r="A8" i="5"/>
  <c r="B7" i="5"/>
  <c r="A7" i="5"/>
  <c r="B6" i="5"/>
  <c r="A6" i="5"/>
  <c r="B5" i="5"/>
  <c r="A5" i="5"/>
  <c r="B4" i="5"/>
  <c r="A4" i="5"/>
  <c r="B3" i="5"/>
  <c r="G3" i="5" s="1"/>
  <c r="A3" i="5"/>
  <c r="B2" i="5"/>
  <c r="A2" i="5"/>
  <c r="B1" i="5"/>
  <c r="A1" i="5"/>
</calcChain>
</file>

<file path=xl/sharedStrings.xml><?xml version="1.0" encoding="utf-8"?>
<sst xmlns="http://schemas.openxmlformats.org/spreadsheetml/2006/main" count="168" uniqueCount="78">
  <si>
    <t>Description:</t>
  </si>
  <si>
    <t>Model parameters governing projection of fertility</t>
  </si>
  <si>
    <t>Authors:</t>
  </si>
  <si>
    <t>Process:</t>
  </si>
  <si>
    <t>F1</t>
  </si>
  <si>
    <t>Prob have a child for women</t>
  </si>
  <si>
    <t>Notes:</t>
  </si>
  <si>
    <t>Estimation sample: UK_ipop.dta with grossing up weight dwt</t>
  </si>
  <si>
    <t>Conditions for processes are defined as globals in master.do</t>
  </si>
  <si>
    <t>Combined former processes F1a and F1b</t>
  </si>
  <si>
    <t>Goodness of fit</t>
  </si>
  <si>
    <t>REGRESSOR</t>
  </si>
  <si>
    <t>COEFFICIENT</t>
  </si>
  <si>
    <t>Ded</t>
  </si>
  <si>
    <t>Dag</t>
  </si>
  <si>
    <t>Dag_sq</t>
  </si>
  <si>
    <t>Dhe_pcs_L1</t>
  </si>
  <si>
    <t>Dhe_mcs_L1</t>
  </si>
  <si>
    <t>Dcpst_Single</t>
  </si>
  <si>
    <t>Dcpst_Single_L1</t>
  </si>
  <si>
    <t>Ded_Dcpst_Single</t>
  </si>
  <si>
    <t>Ydses_c5_Q2_L1</t>
  </si>
  <si>
    <t>Ydses_c5_Q3_L1</t>
  </si>
  <si>
    <t>Ydses_c5_Q4_L1</t>
  </si>
  <si>
    <t>Ydses_c5_Q5_L1</t>
  </si>
  <si>
    <t>Dnc_L1</t>
  </si>
  <si>
    <t>Dnc02_L1</t>
  </si>
  <si>
    <t>Deh_c4_Low</t>
  </si>
  <si>
    <t>Deh_c4_High</t>
  </si>
  <si>
    <t>FertilityRate</t>
  </si>
  <si>
    <t>Les_c3_NotEmployed_L1</t>
  </si>
  <si>
    <t>Year_transformed</t>
  </si>
  <si>
    <t>Y2020</t>
  </si>
  <si>
    <t>Y2021</t>
  </si>
  <si>
    <t>Constant</t>
  </si>
  <si>
    <t>F1 - Have child</t>
  </si>
  <si>
    <t>Pseudo R-squared</t>
  </si>
  <si>
    <t>N</t>
  </si>
  <si>
    <t>Chi^2</t>
  </si>
  <si>
    <t>Log likelihood</t>
  </si>
  <si>
    <t>Patryk Bronka, Justin van de Ven, Daria Popova, Aleksandra Kolndrekaj, Ashley Burdett</t>
  </si>
  <si>
    <t xml:space="preserve">Last edit: 15 April 2026 (DP) </t>
  </si>
  <si>
    <t>eduSampleFlag</t>
  </si>
  <si>
    <t>demAge</t>
  </si>
  <si>
    <t>demAgeSq</t>
  </si>
  <si>
    <t>healthPhysicalPcsL1</t>
  </si>
  <si>
    <t>healthMentalMcsL1</t>
  </si>
  <si>
    <t>demPartnerStatusSingle</t>
  </si>
  <si>
    <t>demPartnerStatusSingleL1</t>
  </si>
  <si>
    <t>eduSampleFlag_Single</t>
  </si>
  <si>
    <t>yHhQuintilesMonthC5Q2L1</t>
  </si>
  <si>
    <t>yHhQuintilesMonthC5Q3L1</t>
  </si>
  <si>
    <t>yHhQuintilesMonthC5Q4L1</t>
  </si>
  <si>
    <t>yHhQuintilesMonthC5Q5L1</t>
  </si>
  <si>
    <t>demNChildL1</t>
  </si>
  <si>
    <t>demNChild0to2L1</t>
  </si>
  <si>
    <t>fertilityRate</t>
  </si>
  <si>
    <t>labStatusC3NotEmployedL1</t>
  </si>
  <si>
    <t>demRgnUKC</t>
  </si>
  <si>
    <t>demRgnUKD</t>
  </si>
  <si>
    <t>demRgnUKE</t>
  </si>
  <si>
    <t>demRgnUKF</t>
  </si>
  <si>
    <t>demRgnUKG</t>
  </si>
  <si>
    <t>demRgnUKH</t>
  </si>
  <si>
    <t>demRgnUKJ</t>
  </si>
  <si>
    <t>demRgnUKK</t>
  </si>
  <si>
    <t>demRgnUKL</t>
  </si>
  <si>
    <t>demRgnUKM</t>
  </si>
  <si>
    <t>demRgnUKN</t>
  </si>
  <si>
    <t>demYear2020</t>
  </si>
  <si>
    <t>demYear2021</t>
  </si>
  <si>
    <t>demEthnC4Asian</t>
  </si>
  <si>
    <t>demEthnC4Black</t>
  </si>
  <si>
    <t>demEthnC4Other</t>
  </si>
  <si>
    <t>eduHighestC4Low</t>
  </si>
  <si>
    <t>eduHighestC4High</t>
  </si>
  <si>
    <t>comp</t>
  </si>
  <si>
    <t>demYearTransformed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</si>
</sst>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253AA-CABC-4ED9-AB69-4F271C92E4B5}">
  <sheetPr>
    <tabColor rgb="FFFFFF00"/>
  </sheetPr>
  <dimension ref="A1:G37"/>
  <sheetViews>
    <sheetView workbookViewId="0">
      <selection activeCell="E29" sqref="E29"/>
    </sheetView>
  </sheetViews>
  <sheetFormatPr baseColWidth="10" defaultColWidth="8.83203125" defaultRowHeight="15" x14ac:dyDescent="0.2"/>
  <cols>
    <col min="1" max="1" width="31.5" customWidth="1"/>
    <col min="4" max="4" width="26.6640625" customWidth="1"/>
  </cols>
  <sheetData>
    <row r="1" spans="1:7" x14ac:dyDescent="0.2">
      <c r="A1" t="str">
        <f>'F1'!A1</f>
        <v>REGRESSOR</v>
      </c>
      <c r="B1" t="str">
        <f>'F1'!B1</f>
        <v>COEFFICIENT</v>
      </c>
      <c r="D1" t="str">
        <f>F1_orig!A1</f>
        <v>REGRESSOR</v>
      </c>
      <c r="E1" t="str">
        <f>F1_orig!B1</f>
        <v>COEFFICIENT</v>
      </c>
      <c r="G1" t="s">
        <v>76</v>
      </c>
    </row>
    <row r="2" spans="1:7" x14ac:dyDescent="0.2">
      <c r="A2" t="str">
        <f>'F1'!A2</f>
        <v>eduSampleFlag</v>
      </c>
      <c r="B2">
        <f>'F1'!B2</f>
        <v>-0.53200332937532369</v>
      </c>
      <c r="D2" t="str">
        <f>F1_orig!A2</f>
        <v>Ded</v>
      </c>
      <c r="E2">
        <f>F1_orig!B2</f>
        <v>-0.53200332937533079</v>
      </c>
      <c r="G2" s="7">
        <f>B2-E2</f>
        <v>7.1054273576010019E-15</v>
      </c>
    </row>
    <row r="3" spans="1:7" x14ac:dyDescent="0.2">
      <c r="A3" t="str">
        <f>'F1'!A3</f>
        <v>demAge</v>
      </c>
      <c r="B3">
        <f>'F1'!B3</f>
        <v>0.32365262981949999</v>
      </c>
      <c r="D3" t="str">
        <f>F1_orig!A3</f>
        <v>Dag</v>
      </c>
      <c r="E3">
        <f>F1_orig!B3</f>
        <v>0.32365262981949572</v>
      </c>
      <c r="G3" s="7">
        <f t="shared" ref="G3:G36" si="0">B3-E3</f>
        <v>4.2743586448068527E-15</v>
      </c>
    </row>
    <row r="4" spans="1:7" x14ac:dyDescent="0.2">
      <c r="A4" t="str">
        <f>'F1'!A4</f>
        <v>demAgeSq</v>
      </c>
      <c r="B4">
        <f>'F1'!B4</f>
        <v>-5.7059630422991456E-3</v>
      </c>
      <c r="D4" t="str">
        <f>F1_orig!A4</f>
        <v>Dag_sq</v>
      </c>
      <c r="E4">
        <f>F1_orig!B4</f>
        <v>-5.7059630422990814E-3</v>
      </c>
      <c r="G4" s="7">
        <f t="shared" si="0"/>
        <v>-6.4184768611141862E-17</v>
      </c>
    </row>
    <row r="5" spans="1:7" x14ac:dyDescent="0.2">
      <c r="A5" t="str">
        <f>'F1'!A5</f>
        <v>healthPhysicalPcsL1</v>
      </c>
      <c r="B5">
        <f>'F1'!B5</f>
        <v>-1.3617803061419416E-2</v>
      </c>
      <c r="D5" t="str">
        <f>F1_orig!A5</f>
        <v>Dhe_pcs_L1</v>
      </c>
      <c r="E5">
        <f>F1_orig!B5</f>
        <v>-1.36178030614196E-2</v>
      </c>
      <c r="G5" s="7">
        <f t="shared" si="0"/>
        <v>1.8388068845354155E-16</v>
      </c>
    </row>
    <row r="6" spans="1:7" x14ac:dyDescent="0.2">
      <c r="A6" t="str">
        <f>'F1'!A6</f>
        <v>healthMentalMcsL1</v>
      </c>
      <c r="B6">
        <f>'F1'!B6</f>
        <v>7.005085008673897E-3</v>
      </c>
      <c r="D6" t="str">
        <f>F1_orig!A6</f>
        <v>Dhe_mcs_L1</v>
      </c>
      <c r="E6">
        <f>F1_orig!B6</f>
        <v>7.0050850086738545E-3</v>
      </c>
      <c r="G6" s="7">
        <f t="shared" si="0"/>
        <v>4.2500725161431774E-17</v>
      </c>
    </row>
    <row r="7" spans="1:7" x14ac:dyDescent="0.2">
      <c r="A7" t="str">
        <f>'F1'!A7</f>
        <v>demPartnerStatusSingle</v>
      </c>
      <c r="B7">
        <f>'F1'!B7</f>
        <v>-0.72395165710909692</v>
      </c>
      <c r="D7" t="str">
        <f>F1_orig!A7</f>
        <v>Dcpst_Single</v>
      </c>
      <c r="E7">
        <f>F1_orig!B7</f>
        <v>-0.72395165710909504</v>
      </c>
      <c r="G7" s="7">
        <f t="shared" si="0"/>
        <v>-1.8873791418627661E-15</v>
      </c>
    </row>
    <row r="8" spans="1:7" x14ac:dyDescent="0.2">
      <c r="A8" t="str">
        <f>'F1'!A8</f>
        <v>demPartnerStatusSingleL1</v>
      </c>
      <c r="B8">
        <f>'F1'!B8</f>
        <v>0.11626848781660369</v>
      </c>
      <c r="D8" t="str">
        <f>F1_orig!A8</f>
        <v>Dcpst_Single_L1</v>
      </c>
      <c r="E8">
        <f>F1_orig!B8</f>
        <v>0.11626848781659915</v>
      </c>
      <c r="G8" s="7">
        <f t="shared" si="0"/>
        <v>4.5380366131553274E-15</v>
      </c>
    </row>
    <row r="9" spans="1:7" x14ac:dyDescent="0.2">
      <c r="A9" t="str">
        <f>'F1'!A9</f>
        <v>eduSampleFlag_Single</v>
      </c>
      <c r="B9">
        <f>'F1'!B9</f>
        <v>-0.33554018831731613</v>
      </c>
      <c r="D9" t="str">
        <f>F1_orig!A9</f>
        <v>Ded_Dcpst_Single</v>
      </c>
      <c r="E9">
        <f>F1_orig!B9</f>
        <v>-0.33554018831731691</v>
      </c>
      <c r="G9" s="7">
        <f t="shared" si="0"/>
        <v>7.7715611723760958E-16</v>
      </c>
    </row>
    <row r="10" spans="1:7" x14ac:dyDescent="0.2">
      <c r="A10" t="str">
        <f>'F1'!A10</f>
        <v>yHhQuintilesMonthC5Q2L1</v>
      </c>
      <c r="B10">
        <f>'F1'!B10</f>
        <v>-1.5456526885211076E-2</v>
      </c>
      <c r="D10" t="str">
        <f>F1_orig!A10</f>
        <v>Ydses_c5_Q2_L1</v>
      </c>
      <c r="E10">
        <f>F1_orig!B10</f>
        <v>-1.5456526885212896E-2</v>
      </c>
      <c r="G10" s="7">
        <f t="shared" si="0"/>
        <v>1.8197249262996706E-15</v>
      </c>
    </row>
    <row r="11" spans="1:7" x14ac:dyDescent="0.2">
      <c r="A11" t="str">
        <f>'F1'!A11</f>
        <v>yHhQuintilesMonthC5Q3L1</v>
      </c>
      <c r="B11">
        <f>'F1'!B11</f>
        <v>-0.11603842157620138</v>
      </c>
      <c r="D11" t="str">
        <f>F1_orig!A11</f>
        <v>Ydses_c5_Q3_L1</v>
      </c>
      <c r="E11">
        <f>F1_orig!B11</f>
        <v>-0.1160384215762036</v>
      </c>
      <c r="G11" s="7">
        <f t="shared" si="0"/>
        <v>2.2204460492503131E-15</v>
      </c>
    </row>
    <row r="12" spans="1:7" x14ac:dyDescent="0.2">
      <c r="A12" t="str">
        <f>'F1'!A12</f>
        <v>yHhQuintilesMonthC5Q4L1</v>
      </c>
      <c r="B12">
        <f>'F1'!B12</f>
        <v>-0.10383679472691418</v>
      </c>
      <c r="D12" t="str">
        <f>F1_orig!A12</f>
        <v>Ydses_c5_Q4_L1</v>
      </c>
      <c r="E12">
        <f>F1_orig!B12</f>
        <v>-0.10383679472691675</v>
      </c>
      <c r="G12" s="7">
        <f t="shared" si="0"/>
        <v>2.5673907444456745E-15</v>
      </c>
    </row>
    <row r="13" spans="1:7" x14ac:dyDescent="0.2">
      <c r="A13" t="str">
        <f>'F1'!A13</f>
        <v>yHhQuintilesMonthC5Q5L1</v>
      </c>
      <c r="B13">
        <f>'F1'!B13</f>
        <v>0.1004223518716183</v>
      </c>
      <c r="D13" t="str">
        <f>F1_orig!A13</f>
        <v>Ydses_c5_Q5_L1</v>
      </c>
      <c r="E13">
        <f>F1_orig!B13</f>
        <v>0.10042235187161527</v>
      </c>
      <c r="G13" s="7">
        <f t="shared" si="0"/>
        <v>3.0253577421035516E-15</v>
      </c>
    </row>
    <row r="14" spans="1:7" x14ac:dyDescent="0.2">
      <c r="A14" t="str">
        <f>'F1'!A14</f>
        <v>demNChildL1</v>
      </c>
      <c r="B14">
        <f>'F1'!B14</f>
        <v>-8.6822838444699943E-2</v>
      </c>
      <c r="D14" t="str">
        <f>F1_orig!A14</f>
        <v>Dnc_L1</v>
      </c>
      <c r="E14">
        <f>F1_orig!B14</f>
        <v>-8.6822838444698958E-2</v>
      </c>
      <c r="G14" s="7">
        <f t="shared" si="0"/>
        <v>-9.8532293435482643E-16</v>
      </c>
    </row>
    <row r="15" spans="1:7" x14ac:dyDescent="0.2">
      <c r="A15" t="str">
        <f>'F1'!A15</f>
        <v>demNChild0to2L1</v>
      </c>
      <c r="B15">
        <f>'F1'!B15</f>
        <v>0.16788462988818506</v>
      </c>
      <c r="D15" t="str">
        <f>F1_orig!A15</f>
        <v>Dnc02_L1</v>
      </c>
      <c r="E15">
        <f>F1_orig!B15</f>
        <v>0.16788462988818462</v>
      </c>
      <c r="G15" s="7">
        <f t="shared" si="0"/>
        <v>4.4408920985006262E-16</v>
      </c>
    </row>
    <row r="16" spans="1:7" x14ac:dyDescent="0.2">
      <c r="A16" t="str">
        <f>'F1'!A16</f>
        <v>eduHighestC4Low</v>
      </c>
      <c r="B16">
        <f>'F1'!B16</f>
        <v>6.1753723678480031E-3</v>
      </c>
      <c r="D16" t="str">
        <f>F1_orig!A16</f>
        <v>Deh_c4_Low</v>
      </c>
      <c r="E16">
        <f>F1_orig!B16</f>
        <v>6.1753723678471071E-3</v>
      </c>
      <c r="G16" s="7">
        <f t="shared" si="0"/>
        <v>8.9598467534202086E-16</v>
      </c>
    </row>
    <row r="17" spans="1:7" x14ac:dyDescent="0.2">
      <c r="A17" t="str">
        <f>'F1'!A17</f>
        <v>eduHighestC4High</v>
      </c>
      <c r="B17">
        <f>'F1'!B17</f>
        <v>-2.8570397727055268E-2</v>
      </c>
      <c r="D17" t="str">
        <f>F1_orig!A17</f>
        <v>Deh_c4_High</v>
      </c>
      <c r="E17">
        <f>F1_orig!B17</f>
        <v>-2.857039772705372E-2</v>
      </c>
      <c r="G17" s="7">
        <f t="shared" si="0"/>
        <v>-1.5473733405713119E-15</v>
      </c>
    </row>
    <row r="18" spans="1:7" x14ac:dyDescent="0.2">
      <c r="A18" t="str">
        <f>'F1'!A18</f>
        <v>fertilityRate</v>
      </c>
      <c r="B18">
        <f>'F1'!B18</f>
        <v>4.4217377181533062E-3</v>
      </c>
      <c r="D18" t="str">
        <f>F1_orig!A18</f>
        <v>FertilityRate</v>
      </c>
      <c r="E18">
        <f>F1_orig!B18</f>
        <v>4.4217377181389418E-3</v>
      </c>
      <c r="G18" s="7">
        <f t="shared" si="0"/>
        <v>1.4364377742825951E-14</v>
      </c>
    </row>
    <row r="19" spans="1:7" x14ac:dyDescent="0.2">
      <c r="A19" t="str">
        <f>'F1'!A19</f>
        <v>labStatusC3NotEmployedL1</v>
      </c>
      <c r="B19">
        <f>'F1'!B19</f>
        <v>0.10563891621055886</v>
      </c>
      <c r="D19" t="str">
        <f>F1_orig!A19</f>
        <v>Les_c3_NotEmployed_L1</v>
      </c>
      <c r="E19">
        <f>F1_orig!B19</f>
        <v>0.10563891621055564</v>
      </c>
      <c r="G19" s="7">
        <f t="shared" si="0"/>
        <v>3.219646771412954E-15</v>
      </c>
    </row>
    <row r="20" spans="1:7" x14ac:dyDescent="0.2">
      <c r="A20" t="str">
        <f>'F1'!A20</f>
        <v>demRgnUKC</v>
      </c>
      <c r="B20">
        <f>'F1'!B20</f>
        <v>-2.1358618079229806E-2</v>
      </c>
      <c r="D20" t="str">
        <f>F1_orig!A20</f>
        <v>demRgnUKC</v>
      </c>
      <c r="E20">
        <f>F1_orig!B20</f>
        <v>-2.135861807923187E-2</v>
      </c>
      <c r="G20" s="7">
        <f t="shared" si="0"/>
        <v>2.0643209364124004E-15</v>
      </c>
    </row>
    <row r="21" spans="1:7" x14ac:dyDescent="0.2">
      <c r="A21" t="str">
        <f>'F1'!A21</f>
        <v>demRgnUKD</v>
      </c>
      <c r="B21">
        <f>'F1'!B21</f>
        <v>3.8533351018771783E-2</v>
      </c>
      <c r="D21" t="str">
        <f>F1_orig!A21</f>
        <v>demRgnUKD</v>
      </c>
      <c r="E21">
        <f>F1_orig!B21</f>
        <v>3.8533351018769653E-2</v>
      </c>
      <c r="G21" s="7">
        <f t="shared" si="0"/>
        <v>2.1302404284995191E-15</v>
      </c>
    </row>
    <row r="22" spans="1:7" x14ac:dyDescent="0.2">
      <c r="A22" t="str">
        <f>'F1'!A22</f>
        <v>demRgnUKE</v>
      </c>
      <c r="B22">
        <f>'F1'!B22</f>
        <v>-3.1788219827850503E-2</v>
      </c>
      <c r="D22" t="str">
        <f>F1_orig!A22</f>
        <v>demRgnUKE</v>
      </c>
      <c r="E22">
        <f>F1_orig!B22</f>
        <v>-3.1788219827852154E-2</v>
      </c>
      <c r="G22" s="7">
        <f t="shared" si="0"/>
        <v>1.6514567491299204E-15</v>
      </c>
    </row>
    <row r="23" spans="1:7" x14ac:dyDescent="0.2">
      <c r="A23" t="str">
        <f>'F1'!A23</f>
        <v>demRgnUKF</v>
      </c>
      <c r="B23">
        <f>'F1'!B23</f>
        <v>6.4772105502824071E-2</v>
      </c>
      <c r="D23" t="str">
        <f>F1_orig!A23</f>
        <v>demRgnUKF</v>
      </c>
      <c r="E23">
        <f>F1_orig!B23</f>
        <v>6.477210550282235E-2</v>
      </c>
      <c r="G23" s="7">
        <f t="shared" si="0"/>
        <v>1.7208456881689926E-15</v>
      </c>
    </row>
    <row r="24" spans="1:7" x14ac:dyDescent="0.2">
      <c r="A24" t="str">
        <f>'F1'!A24</f>
        <v>demRgnUKG</v>
      </c>
      <c r="B24">
        <f>'F1'!B24</f>
        <v>2.7190868861844582E-2</v>
      </c>
      <c r="D24" t="str">
        <f>F1_orig!A24</f>
        <v>demRgnUKG</v>
      </c>
      <c r="E24">
        <f>F1_orig!B24</f>
        <v>2.7190868861843021E-2</v>
      </c>
      <c r="G24" s="7">
        <f t="shared" si="0"/>
        <v>1.5612511283791264E-15</v>
      </c>
    </row>
    <row r="25" spans="1:7" x14ac:dyDescent="0.2">
      <c r="A25" t="str">
        <f>'F1'!A25</f>
        <v>demRgnUKH</v>
      </c>
      <c r="B25">
        <f>'F1'!B25</f>
        <v>0.13508929737163061</v>
      </c>
      <c r="D25" t="str">
        <f>F1_orig!A25</f>
        <v>demRgnUKH</v>
      </c>
      <c r="E25">
        <f>F1_orig!B25</f>
        <v>0.1350892973716287</v>
      </c>
      <c r="G25" s="7">
        <f t="shared" si="0"/>
        <v>1.915134717478395E-15</v>
      </c>
    </row>
    <row r="26" spans="1:7" x14ac:dyDescent="0.2">
      <c r="A26" t="str">
        <f>'F1'!A26</f>
        <v>demRgnUKJ</v>
      </c>
      <c r="B26">
        <f>'F1'!B26</f>
        <v>2.7408885369360939E-2</v>
      </c>
      <c r="D26" t="str">
        <f>F1_orig!A26</f>
        <v>demRgnUKJ</v>
      </c>
      <c r="E26">
        <f>F1_orig!B26</f>
        <v>2.740888536935852E-2</v>
      </c>
      <c r="G26" s="7">
        <f t="shared" si="0"/>
        <v>2.4182045255116691E-15</v>
      </c>
    </row>
    <row r="27" spans="1:7" x14ac:dyDescent="0.2">
      <c r="A27" t="str">
        <f>'F1'!A27</f>
        <v>demRgnUKK</v>
      </c>
      <c r="B27">
        <f>'F1'!B27</f>
        <v>6.3273413479129334E-2</v>
      </c>
      <c r="D27" t="str">
        <f>F1_orig!A27</f>
        <v>demRgnUKK</v>
      </c>
      <c r="E27">
        <f>F1_orig!B27</f>
        <v>6.3273413479127738E-2</v>
      </c>
      <c r="G27" s="7">
        <f t="shared" si="0"/>
        <v>1.5959455978986625E-15</v>
      </c>
    </row>
    <row r="28" spans="1:7" x14ac:dyDescent="0.2">
      <c r="A28" t="str">
        <f>'F1'!A28</f>
        <v>demRgnUKL</v>
      </c>
      <c r="B28">
        <f>'F1'!B28</f>
        <v>7.7412486000979178E-2</v>
      </c>
      <c r="D28" t="str">
        <f>F1_orig!A28</f>
        <v>demRgnUKL</v>
      </c>
      <c r="E28">
        <f>F1_orig!B28</f>
        <v>7.7412486000976291E-2</v>
      </c>
      <c r="G28" s="7">
        <f t="shared" si="0"/>
        <v>2.886579864025407E-15</v>
      </c>
    </row>
    <row r="29" spans="1:7" x14ac:dyDescent="0.2">
      <c r="A29" t="str">
        <f>'F1'!A29</f>
        <v>demRgnUKM</v>
      </c>
      <c r="B29">
        <f>'F1'!B29</f>
        <v>-8.8653062691023254E-3</v>
      </c>
      <c r="D29" t="str">
        <f>F1_orig!A29</f>
        <v>demRgnUKM</v>
      </c>
      <c r="E29">
        <f>F1_orig!B29</f>
        <v>-8.8653062691056196E-3</v>
      </c>
      <c r="G29" s="7">
        <f t="shared" si="0"/>
        <v>3.2942398808799567E-15</v>
      </c>
    </row>
    <row r="30" spans="1:7" x14ac:dyDescent="0.2">
      <c r="A30" t="str">
        <f>'F1'!A30</f>
        <v>demRgnUKN</v>
      </c>
      <c r="B30">
        <f>'F1'!B30</f>
        <v>0.17022736059974367</v>
      </c>
      <c r="D30" t="str">
        <f>F1_orig!A30</f>
        <v>demRgnUKN</v>
      </c>
      <c r="E30">
        <f>F1_orig!B30</f>
        <v>0.17022736059974211</v>
      </c>
      <c r="G30" s="7">
        <f t="shared" si="0"/>
        <v>1.5543122344752192E-15</v>
      </c>
    </row>
    <row r="31" spans="1:7" x14ac:dyDescent="0.2">
      <c r="A31" t="str">
        <f>'F1'!A31</f>
        <v>demYearTransformed</v>
      </c>
      <c r="B31">
        <f>'F1'!B31</f>
        <v>-1.791512003178224E-2</v>
      </c>
      <c r="D31" t="str">
        <f>F1_orig!A31</f>
        <v>Year_transformed</v>
      </c>
      <c r="E31">
        <f>F1_orig!B31</f>
        <v>-1.7915120031799722E-2</v>
      </c>
      <c r="G31" s="7">
        <f t="shared" si="0"/>
        <v>1.7482543190894262E-14</v>
      </c>
    </row>
    <row r="32" spans="1:7" x14ac:dyDescent="0.2">
      <c r="A32" t="str">
        <f>'F1'!A32</f>
        <v>demYear2020</v>
      </c>
      <c r="B32">
        <f>'F1'!B32</f>
        <v>1.6003367649744461E-2</v>
      </c>
      <c r="D32" t="str">
        <f>F1_orig!A32</f>
        <v>Y2020</v>
      </c>
      <c r="E32">
        <f>F1_orig!B32</f>
        <v>1.6003367649727242E-2</v>
      </c>
      <c r="G32" s="7">
        <f t="shared" si="0"/>
        <v>1.7218865222545787E-14</v>
      </c>
    </row>
    <row r="33" spans="1:7" x14ac:dyDescent="0.2">
      <c r="A33" t="str">
        <f>'F1'!A33</f>
        <v>demYear2021</v>
      </c>
      <c r="B33">
        <f>'F1'!B33</f>
        <v>5.1664386645568244E-2</v>
      </c>
      <c r="D33" t="str">
        <f>F1_orig!A33</f>
        <v>Y2021</v>
      </c>
      <c r="E33">
        <f>F1_orig!B33</f>
        <v>5.1664386645578798E-2</v>
      </c>
      <c r="G33" s="7">
        <f t="shared" si="0"/>
        <v>-1.0554057627842894E-14</v>
      </c>
    </row>
    <row r="34" spans="1:7" x14ac:dyDescent="0.2">
      <c r="A34" t="str">
        <f>'F1'!A34</f>
        <v>demEthnC4Asian</v>
      </c>
      <c r="B34">
        <f>'F1'!B34</f>
        <v>-8.8911268083306141E-2</v>
      </c>
      <c r="D34" t="str">
        <f>F1_orig!A34</f>
        <v>demEthnC4Asian</v>
      </c>
      <c r="E34">
        <f>F1_orig!B34</f>
        <v>-8.891126808330857E-2</v>
      </c>
      <c r="G34" s="7">
        <f t="shared" si="0"/>
        <v>2.4286128663675299E-15</v>
      </c>
    </row>
    <row r="35" spans="1:7" x14ac:dyDescent="0.2">
      <c r="A35" t="str">
        <f>'F1'!A35</f>
        <v>demEthnC4Black</v>
      </c>
      <c r="B35">
        <f>'F1'!B35</f>
        <v>0.2404544031560685</v>
      </c>
      <c r="D35" t="str">
        <f>F1_orig!A35</f>
        <v>demEthnC4Black</v>
      </c>
      <c r="E35">
        <f>F1_orig!B35</f>
        <v>0.24045440315606548</v>
      </c>
      <c r="G35" s="7">
        <f t="shared" si="0"/>
        <v>3.0253577421035516E-15</v>
      </c>
    </row>
    <row r="36" spans="1:7" x14ac:dyDescent="0.2">
      <c r="A36" t="str">
        <f>'F1'!A36</f>
        <v>demEthnC4Other</v>
      </c>
      <c r="B36">
        <f>'F1'!B36</f>
        <v>2.8876497907552125E-2</v>
      </c>
      <c r="D36" t="str">
        <f>F1_orig!A36</f>
        <v>demEthnC4Other</v>
      </c>
      <c r="E36">
        <f>F1_orig!B36</f>
        <v>2.8876497907548745E-2</v>
      </c>
      <c r="G36" s="7">
        <f t="shared" si="0"/>
        <v>3.3792413312028202E-15</v>
      </c>
    </row>
    <row r="37" spans="1:7" x14ac:dyDescent="0.2">
      <c r="A37" t="str">
        <f>'F1'!A37</f>
        <v>Constant</v>
      </c>
      <c r="B37">
        <f>'F1'!B37</f>
        <v>-5.2549662451763979</v>
      </c>
      <c r="D37" t="str">
        <f>F1_orig!A37</f>
        <v>Constant</v>
      </c>
      <c r="E37">
        <f>F1_orig!B37</f>
        <v>-5.2549662451751784</v>
      </c>
      <c r="G37" s="7">
        <f>B37-E37</f>
        <v>-1.2194689702482719E-12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t="s">
        <v>1</v>
      </c>
    </row>
    <row r="2" spans="1:2" x14ac:dyDescent="0.2">
      <c r="A2" t="s">
        <v>2</v>
      </c>
      <c r="B2" t="s">
        <v>40</v>
      </c>
    </row>
    <row r="3" spans="1:2" x14ac:dyDescent="0.2">
      <c r="A3" t="s">
        <v>41</v>
      </c>
    </row>
    <row r="5" spans="1:2" x14ac:dyDescent="0.2">
      <c r="A5" s="2" t="s">
        <v>3</v>
      </c>
      <c r="B5" s="3" t="s">
        <v>0</v>
      </c>
    </row>
    <row r="6" spans="1:2" x14ac:dyDescent="0.2">
      <c r="A6" t="s">
        <v>4</v>
      </c>
      <c r="B6" t="s">
        <v>5</v>
      </c>
    </row>
    <row r="10" spans="1:2" x14ac:dyDescent="0.2">
      <c r="A10" s="4" t="s">
        <v>6</v>
      </c>
      <c r="B10" t="s">
        <v>7</v>
      </c>
    </row>
    <row r="11" spans="1:2" x14ac:dyDescent="0.2">
      <c r="B11" t="s">
        <v>8</v>
      </c>
    </row>
    <row r="12" spans="1:2" x14ac:dyDescent="0.2">
      <c r="B12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/>
  </sheetViews>
  <sheetFormatPr baseColWidth="10" defaultColWidth="8.83203125" defaultRowHeight="15" x14ac:dyDescent="0.2"/>
  <sheetData>
    <row r="1" spans="1:6" x14ac:dyDescent="0.2">
      <c r="A1" s="5" t="s">
        <v>10</v>
      </c>
    </row>
    <row r="3" spans="1:6" x14ac:dyDescent="0.2">
      <c r="A3" s="6" t="s">
        <v>35</v>
      </c>
    </row>
    <row r="4" spans="1:6" x14ac:dyDescent="0.2">
      <c r="A4" t="s">
        <v>36</v>
      </c>
      <c r="B4">
        <v>0.17138240451217646</v>
      </c>
      <c r="E4" t="s">
        <v>38</v>
      </c>
      <c r="F4">
        <v>2022.062224502685</v>
      </c>
    </row>
    <row r="5" spans="1:6" x14ac:dyDescent="0.2">
      <c r="A5" t="s">
        <v>37</v>
      </c>
      <c r="B5">
        <v>83159</v>
      </c>
      <c r="E5" t="s">
        <v>39</v>
      </c>
      <c r="F5">
        <v>-8357301.1977458587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37"/>
  <sheetViews>
    <sheetView workbookViewId="0"/>
  </sheetViews>
  <sheetFormatPr baseColWidth="10" defaultColWidth="8.83203125" defaultRowHeight="15" x14ac:dyDescent="0.2"/>
  <sheetData>
    <row r="1" spans="1:38" x14ac:dyDescent="0.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31</v>
      </c>
      <c r="AG1" t="s">
        <v>32</v>
      </c>
      <c r="AH1" t="s">
        <v>33</v>
      </c>
      <c r="AI1" t="s">
        <v>71</v>
      </c>
      <c r="AJ1" t="s">
        <v>72</v>
      </c>
      <c r="AK1" t="s">
        <v>73</v>
      </c>
      <c r="AL1" t="s">
        <v>34</v>
      </c>
    </row>
    <row r="2" spans="1:38" x14ac:dyDescent="0.2">
      <c r="A2" t="s">
        <v>13</v>
      </c>
      <c r="B2">
        <v>-0.53200332937533079</v>
      </c>
      <c r="C2">
        <v>0.20543781327454999</v>
      </c>
      <c r="D2">
        <v>-9.1559453886251238E-5</v>
      </c>
      <c r="E2">
        <v>1.6039962113940678E-6</v>
      </c>
      <c r="F2">
        <v>1.6131927792382792E-5</v>
      </c>
      <c r="G2">
        <v>7.7183298111972834E-6</v>
      </c>
      <c r="H2">
        <v>-6.2329879065224658E-5</v>
      </c>
      <c r="I2">
        <v>1.7474416667248062E-3</v>
      </c>
      <c r="J2">
        <v>-0.20477624704012498</v>
      </c>
      <c r="K2">
        <v>1.5392599024633308E-4</v>
      </c>
      <c r="L2">
        <v>1.2514904961597869E-3</v>
      </c>
      <c r="M2">
        <v>2.0578423478261497E-3</v>
      </c>
      <c r="N2">
        <v>2.4998240489301727E-3</v>
      </c>
      <c r="O2">
        <v>3.5933179253337124E-4</v>
      </c>
      <c r="P2">
        <v>1.0113937218961852E-6</v>
      </c>
      <c r="Q2">
        <v>4.9670434483403908E-4</v>
      </c>
      <c r="R2">
        <v>2.9322771365130999E-4</v>
      </c>
      <c r="S2">
        <v>-1.1888182959132331E-4</v>
      </c>
      <c r="T2">
        <v>1.0199109295055935E-3</v>
      </c>
      <c r="U2">
        <v>-7.6867217283340869E-4</v>
      </c>
      <c r="V2">
        <v>9.984389908248366E-5</v>
      </c>
      <c r="W2">
        <v>3.3524910201289176E-4</v>
      </c>
      <c r="X2">
        <v>2.5420126683451446E-4</v>
      </c>
      <c r="Y2">
        <v>1.1485613489280017E-3</v>
      </c>
      <c r="Z2">
        <v>7.4899313178116312E-4</v>
      </c>
      <c r="AA2">
        <v>-4.5955709518940104E-5</v>
      </c>
      <c r="AB2">
        <v>2.4187105804385385E-4</v>
      </c>
      <c r="AC2">
        <v>5.0489051232629058E-4</v>
      </c>
      <c r="AD2">
        <v>-1.5306899027982268E-4</v>
      </c>
      <c r="AE2">
        <v>2.7013316346349847E-4</v>
      </c>
      <c r="AF2">
        <v>-7.8786167834481895E-5</v>
      </c>
      <c r="AG2">
        <v>-5.7531693783346299E-4</v>
      </c>
      <c r="AH2">
        <v>-2.9971967865664948E-4</v>
      </c>
      <c r="AI2">
        <v>-5.6526803915789726E-5</v>
      </c>
      <c r="AJ2">
        <v>-5.8324750785530496E-4</v>
      </c>
      <c r="AK2">
        <v>1.2766839756716483E-3</v>
      </c>
      <c r="AL2">
        <v>5.1150678179465031E-3</v>
      </c>
    </row>
    <row r="3" spans="1:38" x14ac:dyDescent="0.2">
      <c r="A3" t="s">
        <v>14</v>
      </c>
      <c r="B3">
        <v>0.32365262981949572</v>
      </c>
      <c r="C3">
        <v>-9.1559453886251238E-5</v>
      </c>
      <c r="D3">
        <v>2.9241702138095658E-4</v>
      </c>
      <c r="E3">
        <v>-4.3926172333049804E-6</v>
      </c>
      <c r="F3">
        <v>9.7499504371710815E-7</v>
      </c>
      <c r="G3">
        <v>1.9861378816343303E-6</v>
      </c>
      <c r="H3">
        <v>2.6872953250953483E-5</v>
      </c>
      <c r="I3">
        <v>6.9160856375217669E-5</v>
      </c>
      <c r="J3">
        <v>4.2444259764584224E-4</v>
      </c>
      <c r="K3">
        <v>-1.8521320215504036E-5</v>
      </c>
      <c r="L3">
        <v>-4.0948841127907195E-5</v>
      </c>
      <c r="M3">
        <v>-5.791397517717527E-5</v>
      </c>
      <c r="N3">
        <v>-1.1039133181675359E-4</v>
      </c>
      <c r="O3">
        <v>-3.8154434391486527E-5</v>
      </c>
      <c r="P3">
        <v>-7.2795937570792633E-5</v>
      </c>
      <c r="Q3">
        <v>-3.7356494079376044E-5</v>
      </c>
      <c r="R3">
        <v>-9.6424489691862916E-6</v>
      </c>
      <c r="S3">
        <v>-9.5251835116818987E-6</v>
      </c>
      <c r="T3">
        <v>2.9250763116885824E-5</v>
      </c>
      <c r="U3">
        <v>1.0002735466555884E-4</v>
      </c>
      <c r="V3">
        <v>9.7696914190666291E-5</v>
      </c>
      <c r="W3">
        <v>1.5148120499464178E-4</v>
      </c>
      <c r="X3">
        <v>1.5591486103426824E-4</v>
      </c>
      <c r="Y3">
        <v>1.6376817462572155E-4</v>
      </c>
      <c r="Z3">
        <v>2.3104011680858544E-4</v>
      </c>
      <c r="AA3">
        <v>1.5391516887753535E-4</v>
      </c>
      <c r="AB3">
        <v>1.6588269486281671E-4</v>
      </c>
      <c r="AC3">
        <v>1.947273912092126E-4</v>
      </c>
      <c r="AD3">
        <v>1.4295161164046624E-4</v>
      </c>
      <c r="AE3">
        <v>1.4514729913831133E-4</v>
      </c>
      <c r="AF3">
        <v>-7.5630229204807212E-6</v>
      </c>
      <c r="AG3">
        <v>-2.6537146478811807E-5</v>
      </c>
      <c r="AH3">
        <v>-5.5018858766451174E-5</v>
      </c>
      <c r="AI3">
        <v>5.1065744377186938E-6</v>
      </c>
      <c r="AJ3">
        <v>1.8028906568874452E-5</v>
      </c>
      <c r="AK3">
        <v>2.865514004989668E-4</v>
      </c>
      <c r="AL3">
        <v>-4.1887917458965987E-3</v>
      </c>
    </row>
    <row r="4" spans="1:38" x14ac:dyDescent="0.2">
      <c r="A4" t="s">
        <v>15</v>
      </c>
      <c r="B4">
        <v>-5.7059630422990814E-3</v>
      </c>
      <c r="C4">
        <v>1.6039962113940678E-6</v>
      </c>
      <c r="D4">
        <v>-4.3926172333049804E-6</v>
      </c>
      <c r="E4">
        <v>6.7170988230654691E-8</v>
      </c>
      <c r="F4">
        <v>-7.5019984686331833E-9</v>
      </c>
      <c r="G4">
        <v>-2.9713337336651975E-8</v>
      </c>
      <c r="H4">
        <v>-5.102424186773258E-7</v>
      </c>
      <c r="I4">
        <v>-6.7240315241535797E-7</v>
      </c>
      <c r="J4">
        <v>-6.2938531240267609E-6</v>
      </c>
      <c r="K4">
        <v>3.0755203510014301E-7</v>
      </c>
      <c r="L4">
        <v>6.2821410386629383E-7</v>
      </c>
      <c r="M4">
        <v>6.3047967075711986E-7</v>
      </c>
      <c r="N4">
        <v>1.4075337562200783E-6</v>
      </c>
      <c r="O4">
        <v>3.5663546351787902E-7</v>
      </c>
      <c r="P4">
        <v>1.3797988040657668E-6</v>
      </c>
      <c r="Q4">
        <v>4.2759490528279252E-7</v>
      </c>
      <c r="R4">
        <v>1.68033671853316E-7</v>
      </c>
      <c r="S4">
        <v>1.6086958888222359E-7</v>
      </c>
      <c r="T4">
        <v>-4.9421886907124226E-7</v>
      </c>
      <c r="U4">
        <v>-1.6460043078768657E-6</v>
      </c>
      <c r="V4">
        <v>-1.511375231351639E-6</v>
      </c>
      <c r="W4">
        <v>-2.2779225865682543E-6</v>
      </c>
      <c r="X4">
        <v>-2.4279442505759285E-6</v>
      </c>
      <c r="Y4">
        <v>-2.4522016072277854E-6</v>
      </c>
      <c r="Z4">
        <v>-3.6698382589821471E-6</v>
      </c>
      <c r="AA4">
        <v>-2.3293870021122354E-6</v>
      </c>
      <c r="AB4">
        <v>-2.5452449906960482E-6</v>
      </c>
      <c r="AC4">
        <v>-2.9240620657017986E-6</v>
      </c>
      <c r="AD4">
        <v>-2.3713942299796741E-6</v>
      </c>
      <c r="AE4">
        <v>-2.2500566971530968E-6</v>
      </c>
      <c r="AF4">
        <v>1.2049351088422904E-7</v>
      </c>
      <c r="AG4">
        <v>4.0155626946289098E-7</v>
      </c>
      <c r="AH4">
        <v>8.6914154417690686E-7</v>
      </c>
      <c r="AI4">
        <v>-1.3338421360868262E-7</v>
      </c>
      <c r="AJ4">
        <v>-5.2044630711022151E-7</v>
      </c>
      <c r="AK4">
        <v>-4.6057223437623068E-6</v>
      </c>
      <c r="AL4">
        <v>6.0416784281838894E-5</v>
      </c>
    </row>
    <row r="5" spans="1:38" x14ac:dyDescent="0.2">
      <c r="A5" t="s">
        <v>16</v>
      </c>
      <c r="B5">
        <v>-1.36178030614196E-2</v>
      </c>
      <c r="C5">
        <v>1.6131927792382792E-5</v>
      </c>
      <c r="D5">
        <v>9.7499504371710815E-7</v>
      </c>
      <c r="E5">
        <v>-7.5019984686331833E-9</v>
      </c>
      <c r="F5">
        <v>1.6308265485145809E-6</v>
      </c>
      <c r="G5">
        <v>1.4519889198170103E-7</v>
      </c>
      <c r="H5">
        <v>1.9685421041180598E-5</v>
      </c>
      <c r="I5">
        <v>-1.8309151149733433E-5</v>
      </c>
      <c r="J5">
        <v>-1.9337586012548174E-5</v>
      </c>
      <c r="K5">
        <v>-3.2209628931999871E-7</v>
      </c>
      <c r="L5">
        <v>-1.6172073421163375E-6</v>
      </c>
      <c r="M5">
        <v>-3.3358111607070931E-6</v>
      </c>
      <c r="N5">
        <v>-1.1716278585891371E-5</v>
      </c>
      <c r="O5">
        <v>-3.4036825970222875E-6</v>
      </c>
      <c r="P5">
        <v>-5.1477405488061551E-7</v>
      </c>
      <c r="Q5">
        <v>6.2981877158203858E-7</v>
      </c>
      <c r="R5">
        <v>1.9492088234110484E-6</v>
      </c>
      <c r="S5">
        <v>-7.6099522688477953E-7</v>
      </c>
      <c r="T5">
        <v>8.6450308998373825E-6</v>
      </c>
      <c r="U5">
        <v>2.3840960654137309E-6</v>
      </c>
      <c r="V5">
        <v>4.8115884531034839E-6</v>
      </c>
      <c r="W5">
        <v>3.6774430108195735E-6</v>
      </c>
      <c r="X5">
        <v>2.4271270391676672E-6</v>
      </c>
      <c r="Y5">
        <v>3.4114284080579385E-6</v>
      </c>
      <c r="Z5">
        <v>1.0082272882249189E-5</v>
      </c>
      <c r="AA5">
        <v>2.7490599463275653E-7</v>
      </c>
      <c r="AB5">
        <v>3.4694168300993608E-6</v>
      </c>
      <c r="AC5">
        <v>4.6442823837182237E-6</v>
      </c>
      <c r="AD5">
        <v>-1.8014601718445775E-6</v>
      </c>
      <c r="AE5">
        <v>1.4908629322365189E-6</v>
      </c>
      <c r="AF5">
        <v>-5.7593407552349379E-7</v>
      </c>
      <c r="AG5">
        <v>-3.7426835891898847E-6</v>
      </c>
      <c r="AH5">
        <v>1.0272851738479509E-6</v>
      </c>
      <c r="AI5">
        <v>1.5691615755796655E-6</v>
      </c>
      <c r="AJ5">
        <v>1.5085316360937429E-6</v>
      </c>
      <c r="AK5">
        <v>1.7675754068930598E-5</v>
      </c>
      <c r="AL5">
        <v>-5.829566248026735E-5</v>
      </c>
    </row>
    <row r="6" spans="1:38" x14ac:dyDescent="0.2">
      <c r="A6" t="s">
        <v>17</v>
      </c>
      <c r="B6">
        <v>7.0050850086738545E-3</v>
      </c>
      <c r="C6">
        <v>7.7183298111972834E-6</v>
      </c>
      <c r="D6">
        <v>1.9861378816343303E-6</v>
      </c>
      <c r="E6">
        <v>-2.9713337336651975E-8</v>
      </c>
      <c r="F6">
        <v>1.4519889198170103E-7</v>
      </c>
      <c r="G6">
        <v>1.6146577651912744E-6</v>
      </c>
      <c r="H6">
        <v>1.1506165721484852E-5</v>
      </c>
      <c r="I6">
        <v>-2.0824902390915697E-5</v>
      </c>
      <c r="J6">
        <v>-5.61751382891658E-6</v>
      </c>
      <c r="K6">
        <v>-3.1518507109174675E-6</v>
      </c>
      <c r="L6">
        <v>-9.2327084277585967E-6</v>
      </c>
      <c r="M6">
        <v>-1.681247019591641E-5</v>
      </c>
      <c r="N6">
        <v>-1.3704425154404608E-5</v>
      </c>
      <c r="O6">
        <v>-2.3292627626542153E-6</v>
      </c>
      <c r="P6">
        <v>-1.2336917663812768E-7</v>
      </c>
      <c r="Q6">
        <v>1.0685483222401793E-6</v>
      </c>
      <c r="R6">
        <v>-2.4121673474032451E-6</v>
      </c>
      <c r="S6">
        <v>1.2243568445768796E-6</v>
      </c>
      <c r="T6">
        <v>4.204346238980311E-6</v>
      </c>
      <c r="U6">
        <v>-4.2902152116887337E-6</v>
      </c>
      <c r="V6">
        <v>-4.7004202082236781E-6</v>
      </c>
      <c r="W6">
        <v>-3.0597444992366266E-6</v>
      </c>
      <c r="X6">
        <v>-2.44331961657537E-6</v>
      </c>
      <c r="Y6">
        <v>-2.3889324198519153E-6</v>
      </c>
      <c r="Z6">
        <v>-1.3634444692038549E-5</v>
      </c>
      <c r="AA6">
        <v>-3.7931236235384597E-6</v>
      </c>
      <c r="AB6">
        <v>-3.6845379686436033E-6</v>
      </c>
      <c r="AC6">
        <v>-7.5229560360256617E-6</v>
      </c>
      <c r="AD6">
        <v>-5.2673926168263146E-6</v>
      </c>
      <c r="AE6">
        <v>-3.6880853750612577E-6</v>
      </c>
      <c r="AF6">
        <v>1.4605478834028535E-6</v>
      </c>
      <c r="AG6">
        <v>6.2259686470281635E-6</v>
      </c>
      <c r="AH6">
        <v>7.7950723154206524E-6</v>
      </c>
      <c r="AI6">
        <v>-6.7737044742993414E-7</v>
      </c>
      <c r="AJ6">
        <v>1.141005963449857E-6</v>
      </c>
      <c r="AK6">
        <v>-3.0767736225815784E-5</v>
      </c>
      <c r="AL6">
        <v>-1.9155574543230545E-4</v>
      </c>
    </row>
    <row r="7" spans="1:38" x14ac:dyDescent="0.2">
      <c r="A7" t="s">
        <v>18</v>
      </c>
      <c r="B7">
        <v>-0.72395165710909504</v>
      </c>
      <c r="C7">
        <v>-6.2329879065224658E-5</v>
      </c>
      <c r="D7">
        <v>2.6872953250953483E-5</v>
      </c>
      <c r="E7">
        <v>-5.102424186773258E-7</v>
      </c>
      <c r="F7">
        <v>1.9685421041180598E-5</v>
      </c>
      <c r="G7">
        <v>1.1506165721484852E-5</v>
      </c>
      <c r="H7">
        <v>6.8494050061716103E-3</v>
      </c>
      <c r="I7">
        <v>-6.139944826174107E-3</v>
      </c>
      <c r="J7">
        <v>-3.6696733282896279E-4</v>
      </c>
      <c r="K7">
        <v>-1.5306530931784627E-5</v>
      </c>
      <c r="L7">
        <v>9.7044640946732322E-5</v>
      </c>
      <c r="M7">
        <v>9.5613153694610621E-5</v>
      </c>
      <c r="N7">
        <v>-2.4341367877972806E-4</v>
      </c>
      <c r="O7">
        <v>1.0765677380750322E-4</v>
      </c>
      <c r="P7">
        <v>-1.4225538329799481E-4</v>
      </c>
      <c r="Q7">
        <v>1.3685166363705404E-4</v>
      </c>
      <c r="R7">
        <v>5.1378672586166268E-4</v>
      </c>
      <c r="S7">
        <v>4.0060671807555372E-5</v>
      </c>
      <c r="T7">
        <v>1.0029412965188538E-4</v>
      </c>
      <c r="U7">
        <v>-1.0528942491682516E-4</v>
      </c>
      <c r="V7">
        <v>6.1315621847184644E-5</v>
      </c>
      <c r="W7">
        <v>5.3322173083678868E-5</v>
      </c>
      <c r="X7">
        <v>1.02317369423931E-6</v>
      </c>
      <c r="Y7">
        <v>-1.0488322641726043E-4</v>
      </c>
      <c r="Z7">
        <v>5.1918324552524596E-4</v>
      </c>
      <c r="AA7">
        <v>-3.7212874121537955E-4</v>
      </c>
      <c r="AB7">
        <v>-1.7790452164547508E-6</v>
      </c>
      <c r="AC7">
        <v>7.7323469759143238E-5</v>
      </c>
      <c r="AD7">
        <v>-7.5539575584250107E-4</v>
      </c>
      <c r="AE7">
        <v>-1.3285985941563727E-4</v>
      </c>
      <c r="AF7">
        <v>2.6982426094351304E-5</v>
      </c>
      <c r="AG7">
        <v>-1.6929237222423183E-5</v>
      </c>
      <c r="AH7">
        <v>1.4916552247292274E-4</v>
      </c>
      <c r="AI7">
        <v>-7.8964015149653408E-5</v>
      </c>
      <c r="AJ7">
        <v>-3.1903731942988927E-4</v>
      </c>
      <c r="AK7">
        <v>3.8975016598085744E-4</v>
      </c>
      <c r="AL7">
        <v>-4.9979091070393358E-3</v>
      </c>
    </row>
    <row r="8" spans="1:38" x14ac:dyDescent="0.2">
      <c r="A8" t="s">
        <v>19</v>
      </c>
      <c r="B8">
        <v>0.11626848781659915</v>
      </c>
      <c r="C8">
        <v>1.7474416667248062E-3</v>
      </c>
      <c r="D8">
        <v>6.9160856375217669E-5</v>
      </c>
      <c r="E8">
        <v>-6.7240315241535797E-7</v>
      </c>
      <c r="F8">
        <v>-1.8309151149733433E-5</v>
      </c>
      <c r="G8">
        <v>-2.0824902390915697E-5</v>
      </c>
      <c r="H8">
        <v>-6.139944826174107E-3</v>
      </c>
      <c r="I8">
        <v>7.0865603274466405E-3</v>
      </c>
      <c r="J8">
        <v>-1.3939435168961157E-3</v>
      </c>
      <c r="K8">
        <v>1.5775543185078819E-4</v>
      </c>
      <c r="L8">
        <v>5.3083147761893014E-4</v>
      </c>
      <c r="M8">
        <v>9.4749738752368182E-4</v>
      </c>
      <c r="N8">
        <v>1.1450639612123007E-3</v>
      </c>
      <c r="O8">
        <v>1.156964079294929E-4</v>
      </c>
      <c r="P8">
        <v>2.0508342396626721E-4</v>
      </c>
      <c r="Q8">
        <v>1.2656462735071263E-4</v>
      </c>
      <c r="R8">
        <v>-3.2397927403200039E-4</v>
      </c>
      <c r="S8">
        <v>-5.3409189012536284E-5</v>
      </c>
      <c r="T8">
        <v>-2.8388705263041069E-6</v>
      </c>
      <c r="U8">
        <v>9.6250531372875221E-5</v>
      </c>
      <c r="V8">
        <v>2.7722529029310041E-5</v>
      </c>
      <c r="W8">
        <v>9.346031915774471E-5</v>
      </c>
      <c r="X8">
        <v>2.5625850678009736E-5</v>
      </c>
      <c r="Y8">
        <v>1.2023779858695669E-4</v>
      </c>
      <c r="Z8">
        <v>2.0126442066409605E-4</v>
      </c>
      <c r="AA8">
        <v>4.3812760120378181E-4</v>
      </c>
      <c r="AB8">
        <v>1.5704120578129642E-4</v>
      </c>
      <c r="AC8">
        <v>2.1483790110523422E-4</v>
      </c>
      <c r="AD8">
        <v>7.1916467808258878E-4</v>
      </c>
      <c r="AE8">
        <v>7.7924201770241189E-5</v>
      </c>
      <c r="AF8">
        <v>-2.4816777709425018E-5</v>
      </c>
      <c r="AG8">
        <v>-3.2987204953582394E-4</v>
      </c>
      <c r="AH8">
        <v>-4.4900559712706452E-4</v>
      </c>
      <c r="AI8">
        <v>7.0945308717659502E-5</v>
      </c>
      <c r="AJ8">
        <v>-2.4893662899219476E-4</v>
      </c>
      <c r="AK8">
        <v>1.7561149839213641E-3</v>
      </c>
      <c r="AL8">
        <v>2.694509798140142E-3</v>
      </c>
    </row>
    <row r="9" spans="1:38" x14ac:dyDescent="0.2">
      <c r="A9" t="s">
        <v>20</v>
      </c>
      <c r="B9">
        <v>-0.33554018831731691</v>
      </c>
      <c r="C9">
        <v>-0.20477624704012498</v>
      </c>
      <c r="D9">
        <v>4.2444259764584224E-4</v>
      </c>
      <c r="E9">
        <v>-6.2938531240267609E-6</v>
      </c>
      <c r="F9">
        <v>-1.9337586012548174E-5</v>
      </c>
      <c r="G9">
        <v>-5.61751382891658E-6</v>
      </c>
      <c r="H9">
        <v>-3.6696733282896279E-4</v>
      </c>
      <c r="I9">
        <v>-1.3939435168961157E-3</v>
      </c>
      <c r="J9">
        <v>0.22874990768027484</v>
      </c>
      <c r="K9">
        <v>1.4642178210183841E-4</v>
      </c>
      <c r="L9">
        <v>-5.4472586480430545E-4</v>
      </c>
      <c r="M9">
        <v>-1.4271512839649629E-3</v>
      </c>
      <c r="N9">
        <v>-1.8537725669799201E-3</v>
      </c>
      <c r="O9">
        <v>-3.7441032905210668E-4</v>
      </c>
      <c r="P9">
        <v>-9.5999728760817331E-5</v>
      </c>
      <c r="Q9">
        <v>-3.8093747183923053E-4</v>
      </c>
      <c r="R9">
        <v>-1.0955717677194315E-4</v>
      </c>
      <c r="S9">
        <v>1.2710126904936397E-4</v>
      </c>
      <c r="T9">
        <v>-5.5007105061905665E-4</v>
      </c>
      <c r="U9">
        <v>6.8504499296934368E-4</v>
      </c>
      <c r="V9">
        <v>-6.7666034578803822E-5</v>
      </c>
      <c r="W9">
        <v>3.8000768571551206E-4</v>
      </c>
      <c r="X9">
        <v>-7.4020544988307087E-5</v>
      </c>
      <c r="Y9">
        <v>-9.9234758414413734E-4</v>
      </c>
      <c r="Z9">
        <v>-7.163048834337854E-4</v>
      </c>
      <c r="AA9">
        <v>1.4257303752801458E-4</v>
      </c>
      <c r="AB9">
        <v>-7.3443682259697923E-5</v>
      </c>
      <c r="AC9">
        <v>-2.9166135258066217E-4</v>
      </c>
      <c r="AD9">
        <v>1.9290465499993161E-4</v>
      </c>
      <c r="AE9">
        <v>-1.1321760410958981E-4</v>
      </c>
      <c r="AF9">
        <v>8.0922425881112205E-5</v>
      </c>
      <c r="AG9">
        <v>6.1298317654743975E-4</v>
      </c>
      <c r="AH9">
        <v>1.9641808546921798E-4</v>
      </c>
      <c r="AI9">
        <v>-2.6688485360119179E-4</v>
      </c>
      <c r="AJ9">
        <v>5.0394462782294889E-4</v>
      </c>
      <c r="AK9">
        <v>-1.7520966706411939E-3</v>
      </c>
      <c r="AL9">
        <v>-1.2132987121521709E-2</v>
      </c>
    </row>
    <row r="10" spans="1:38" x14ac:dyDescent="0.2">
      <c r="A10" t="s">
        <v>21</v>
      </c>
      <c r="B10">
        <v>-1.5456526885212896E-2</v>
      </c>
      <c r="C10">
        <v>1.5392599024633308E-4</v>
      </c>
      <c r="D10">
        <v>-1.8521320215504036E-5</v>
      </c>
      <c r="E10">
        <v>3.0755203510014301E-7</v>
      </c>
      <c r="F10">
        <v>-3.2209628931999871E-7</v>
      </c>
      <c r="G10">
        <v>-3.1518507109174675E-6</v>
      </c>
      <c r="H10">
        <v>-1.5306530931784627E-5</v>
      </c>
      <c r="I10">
        <v>1.5775543185078819E-4</v>
      </c>
      <c r="J10">
        <v>1.4642178210183841E-4</v>
      </c>
      <c r="K10">
        <v>2.584751478024457E-3</v>
      </c>
      <c r="L10">
        <v>1.5139789819154034E-3</v>
      </c>
      <c r="M10">
        <v>1.5656336700359159E-3</v>
      </c>
      <c r="N10">
        <v>1.4685333092136295E-3</v>
      </c>
      <c r="O10">
        <v>-2.1847746608246534E-4</v>
      </c>
      <c r="P10">
        <v>5.2407980440490576E-5</v>
      </c>
      <c r="Q10">
        <v>-2.1166851586451292E-6</v>
      </c>
      <c r="R10">
        <v>1.4675730200683194E-5</v>
      </c>
      <c r="S10">
        <v>-2.7615825078972875E-5</v>
      </c>
      <c r="T10">
        <v>3.2516273591913199E-4</v>
      </c>
      <c r="U10">
        <v>1.6448988830135151E-4</v>
      </c>
      <c r="V10">
        <v>1.2812622383479456E-4</v>
      </c>
      <c r="W10">
        <v>5.1012743587803262E-5</v>
      </c>
      <c r="X10">
        <v>7.5102046503477678E-5</v>
      </c>
      <c r="Y10">
        <v>4.1714865829139438E-5</v>
      </c>
      <c r="Z10">
        <v>2.4111404512851828E-4</v>
      </c>
      <c r="AA10">
        <v>1.0903687405531835E-4</v>
      </c>
      <c r="AB10">
        <v>6.9897023413449238E-5</v>
      </c>
      <c r="AC10">
        <v>4.8351911504071791E-5</v>
      </c>
      <c r="AD10">
        <v>-9.0213055772474948E-5</v>
      </c>
      <c r="AE10">
        <v>2.3199438151705191E-4</v>
      </c>
      <c r="AF10">
        <v>-3.6498937034665343E-5</v>
      </c>
      <c r="AG10">
        <v>-1.8475101306509082E-5</v>
      </c>
      <c r="AH10">
        <v>6.1964233863796674E-5</v>
      </c>
      <c r="AI10">
        <v>-1.7988181928327746E-4</v>
      </c>
      <c r="AJ10">
        <v>1.8855087991720223E-4</v>
      </c>
      <c r="AK10">
        <v>4.357586326988426E-4</v>
      </c>
      <c r="AL10">
        <v>1.1810213981706761E-3</v>
      </c>
    </row>
    <row r="11" spans="1:38" x14ac:dyDescent="0.2">
      <c r="A11" t="s">
        <v>22</v>
      </c>
      <c r="B11">
        <v>-0.1160384215762036</v>
      </c>
      <c r="C11">
        <v>1.2514904961597869E-3</v>
      </c>
      <c r="D11">
        <v>-4.0948841127907195E-5</v>
      </c>
      <c r="E11">
        <v>6.2821410386629383E-7</v>
      </c>
      <c r="F11">
        <v>-1.6172073421163375E-6</v>
      </c>
      <c r="G11">
        <v>-9.2327084277585967E-6</v>
      </c>
      <c r="H11">
        <v>9.7044640946732322E-5</v>
      </c>
      <c r="I11">
        <v>5.3083147761893014E-4</v>
      </c>
      <c r="J11">
        <v>-5.4472586480430545E-4</v>
      </c>
      <c r="K11">
        <v>1.5139789819154034E-3</v>
      </c>
      <c r="L11">
        <v>2.5793824043395439E-3</v>
      </c>
      <c r="M11">
        <v>2.0661273395654696E-3</v>
      </c>
      <c r="N11">
        <v>1.9928657707267905E-3</v>
      </c>
      <c r="O11">
        <v>-6.3787894216467845E-5</v>
      </c>
      <c r="P11">
        <v>1.6273946599844311E-6</v>
      </c>
      <c r="Q11">
        <v>1.8597997617041221E-4</v>
      </c>
      <c r="R11">
        <v>6.5609535066041605E-5</v>
      </c>
      <c r="S11">
        <v>-5.2002625691095663E-5</v>
      </c>
      <c r="T11">
        <v>5.6753835923684603E-4</v>
      </c>
      <c r="U11">
        <v>3.2929314734900518E-5</v>
      </c>
      <c r="V11">
        <v>9.2500495107432183E-5</v>
      </c>
      <c r="W11">
        <v>3.6926477130828437E-5</v>
      </c>
      <c r="X11">
        <v>3.5082785808202986E-6</v>
      </c>
      <c r="Y11">
        <v>-2.9575608927375646E-5</v>
      </c>
      <c r="Z11">
        <v>3.5881530777412906E-4</v>
      </c>
      <c r="AA11">
        <v>4.3008552664959023E-5</v>
      </c>
      <c r="AB11">
        <v>4.7475844356927857E-5</v>
      </c>
      <c r="AC11">
        <v>2.561276610524923E-4</v>
      </c>
      <c r="AD11">
        <v>-5.8992872018554161E-5</v>
      </c>
      <c r="AE11">
        <v>1.322241746260608E-4</v>
      </c>
      <c r="AF11">
        <v>-5.0776866518921608E-5</v>
      </c>
      <c r="AG11">
        <v>-1.3007171642280004E-4</v>
      </c>
      <c r="AH11">
        <v>-9.7687323685880781E-5</v>
      </c>
      <c r="AI11">
        <v>-1.7376644155007559E-4</v>
      </c>
      <c r="AJ11">
        <v>5.2640332745532636E-5</v>
      </c>
      <c r="AK11">
        <v>1.052518297543454E-3</v>
      </c>
      <c r="AL11">
        <v>2.8666716242769785E-3</v>
      </c>
    </row>
    <row r="12" spans="1:38" x14ac:dyDescent="0.2">
      <c r="A12" t="s">
        <v>23</v>
      </c>
      <c r="B12">
        <v>-0.10383679472691675</v>
      </c>
      <c r="C12">
        <v>2.0578423478261497E-3</v>
      </c>
      <c r="D12">
        <v>-5.791397517717527E-5</v>
      </c>
      <c r="E12">
        <v>6.3047967075711986E-7</v>
      </c>
      <c r="F12">
        <v>-3.3358111607070931E-6</v>
      </c>
      <c r="G12">
        <v>-1.681247019591641E-5</v>
      </c>
      <c r="H12">
        <v>9.5613153694610621E-5</v>
      </c>
      <c r="I12">
        <v>9.4749738752368182E-4</v>
      </c>
      <c r="J12">
        <v>-1.4271512839649629E-3</v>
      </c>
      <c r="K12">
        <v>1.5656336700359159E-3</v>
      </c>
      <c r="L12">
        <v>2.0661273395654696E-3</v>
      </c>
      <c r="M12">
        <v>3.2149706667907833E-3</v>
      </c>
      <c r="N12">
        <v>2.4364604801979822E-3</v>
      </c>
      <c r="O12">
        <v>3.0343330767679337E-5</v>
      </c>
      <c r="P12">
        <v>-9.0521128924392263E-6</v>
      </c>
      <c r="Q12">
        <v>3.6901567411737601E-4</v>
      </c>
      <c r="R12">
        <v>7.9465848005584507E-5</v>
      </c>
      <c r="S12">
        <v>-6.9447777618375956E-5</v>
      </c>
      <c r="T12">
        <v>6.790643479156627E-4</v>
      </c>
      <c r="U12">
        <v>2.2186943271078577E-4</v>
      </c>
      <c r="V12">
        <v>2.1121108277514567E-4</v>
      </c>
      <c r="W12">
        <v>1.7325042355343019E-4</v>
      </c>
      <c r="X12">
        <v>4.40300400463771E-5</v>
      </c>
      <c r="Y12">
        <v>-2.2169122958862219E-5</v>
      </c>
      <c r="Z12">
        <v>9.6910402301407083E-4</v>
      </c>
      <c r="AA12">
        <v>1.3988505826648524E-4</v>
      </c>
      <c r="AB12">
        <v>1.5554595827318884E-4</v>
      </c>
      <c r="AC12">
        <v>2.1232101009317496E-4</v>
      </c>
      <c r="AD12">
        <v>1.9679202569073859E-4</v>
      </c>
      <c r="AE12">
        <v>2.0517669905692558E-4</v>
      </c>
      <c r="AF12">
        <v>-4.9021864002736561E-5</v>
      </c>
      <c r="AG12">
        <v>-3.4537691236420165E-4</v>
      </c>
      <c r="AH12">
        <v>-3.1356053569442594E-4</v>
      </c>
      <c r="AI12">
        <v>-7.214523998473046E-5</v>
      </c>
      <c r="AJ12">
        <v>1.1089309233419458E-4</v>
      </c>
      <c r="AK12">
        <v>3.0835527682392958E-3</v>
      </c>
      <c r="AL12">
        <v>4.099274000576603E-3</v>
      </c>
    </row>
    <row r="13" spans="1:38" x14ac:dyDescent="0.2">
      <c r="A13" t="s">
        <v>24</v>
      </c>
      <c r="B13">
        <v>0.10042235187161527</v>
      </c>
      <c r="C13">
        <v>2.4998240489301727E-3</v>
      </c>
      <c r="D13">
        <v>-1.1039133181675359E-4</v>
      </c>
      <c r="E13">
        <v>1.4075337562200783E-6</v>
      </c>
      <c r="F13">
        <v>-1.1716278585891371E-5</v>
      </c>
      <c r="G13">
        <v>-1.3704425154404608E-5</v>
      </c>
      <c r="H13">
        <v>-2.4341367877972806E-4</v>
      </c>
      <c r="I13">
        <v>1.1450639612123007E-3</v>
      </c>
      <c r="J13">
        <v>-1.8537725669799201E-3</v>
      </c>
      <c r="K13">
        <v>1.4685333092136295E-3</v>
      </c>
      <c r="L13">
        <v>1.9928657707267905E-3</v>
      </c>
      <c r="M13">
        <v>2.4364604801979822E-3</v>
      </c>
      <c r="N13">
        <v>2.9480246505262011E-3</v>
      </c>
      <c r="O13">
        <v>1.2914402419091054E-4</v>
      </c>
      <c r="P13">
        <v>2.2060506415299441E-5</v>
      </c>
      <c r="Q13">
        <v>3.9860108770956612E-4</v>
      </c>
      <c r="R13">
        <v>-2.4261828729811005E-4</v>
      </c>
      <c r="S13">
        <v>-4.4905982821475982E-6</v>
      </c>
      <c r="T13">
        <v>6.921198573000499E-4</v>
      </c>
      <c r="U13">
        <v>-1.0119932177582933E-4</v>
      </c>
      <c r="V13">
        <v>-3.1840166746585554E-5</v>
      </c>
      <c r="W13">
        <v>-1.0609390932996785E-4</v>
      </c>
      <c r="X13">
        <v>-1.093790572759972E-4</v>
      </c>
      <c r="Y13">
        <v>-2.3580220127684211E-4</v>
      </c>
      <c r="Z13">
        <v>1.4268890174766783E-4</v>
      </c>
      <c r="AA13">
        <v>-6.7616915026951369E-5</v>
      </c>
      <c r="AB13">
        <v>-8.7069862596617564E-5</v>
      </c>
      <c r="AC13">
        <v>-3.3623293024527697E-5</v>
      </c>
      <c r="AD13">
        <v>-8.059038906255443E-5</v>
      </c>
      <c r="AE13">
        <v>6.8534125630749163E-5</v>
      </c>
      <c r="AF13">
        <v>4.5884060354248098E-6</v>
      </c>
      <c r="AG13">
        <v>-9.8140343838449932E-5</v>
      </c>
      <c r="AH13">
        <v>-1.8765639706068578E-4</v>
      </c>
      <c r="AI13">
        <v>-1.5072067519576087E-4</v>
      </c>
      <c r="AJ13">
        <v>-6.1731432260872261E-5</v>
      </c>
      <c r="AK13">
        <v>7.2892409149535355E-4</v>
      </c>
      <c r="AL13">
        <v>9.0945056345124141E-4</v>
      </c>
    </row>
    <row r="14" spans="1:38" x14ac:dyDescent="0.2">
      <c r="A14" t="s">
        <v>25</v>
      </c>
      <c r="B14">
        <v>-8.6822838444698958E-2</v>
      </c>
      <c r="C14">
        <v>3.5933179253337124E-4</v>
      </c>
      <c r="D14">
        <v>-3.8154434391486527E-5</v>
      </c>
      <c r="E14">
        <v>3.5663546351787902E-7</v>
      </c>
      <c r="F14">
        <v>-3.4036825970222875E-6</v>
      </c>
      <c r="G14">
        <v>-2.3292627626542153E-6</v>
      </c>
      <c r="H14">
        <v>1.0765677380750322E-4</v>
      </c>
      <c r="I14">
        <v>1.156964079294929E-4</v>
      </c>
      <c r="J14">
        <v>-3.7441032905210668E-4</v>
      </c>
      <c r="K14">
        <v>-2.1847746608246534E-4</v>
      </c>
      <c r="L14">
        <v>-6.3787894216467845E-5</v>
      </c>
      <c r="M14">
        <v>3.0343330767679337E-5</v>
      </c>
      <c r="N14">
        <v>1.2914402419091054E-4</v>
      </c>
      <c r="O14">
        <v>3.3765366135618969E-4</v>
      </c>
      <c r="P14">
        <v>-1.856945028513018E-4</v>
      </c>
      <c r="Q14">
        <v>1.2461470677446637E-4</v>
      </c>
      <c r="R14">
        <v>6.0023707291406275E-5</v>
      </c>
      <c r="S14">
        <v>9.7208590636868131E-6</v>
      </c>
      <c r="T14">
        <v>-9.3679197758310292E-5</v>
      </c>
      <c r="U14">
        <v>-1.6221850859829569E-4</v>
      </c>
      <c r="V14">
        <v>-1.4674446367413883E-4</v>
      </c>
      <c r="W14">
        <v>-1.6526403002724933E-4</v>
      </c>
      <c r="X14">
        <v>-1.5547688599456215E-4</v>
      </c>
      <c r="Y14">
        <v>-1.7300669066419718E-4</v>
      </c>
      <c r="Z14">
        <v>-9.0688177183661091E-5</v>
      </c>
      <c r="AA14">
        <v>-1.6245075316840405E-4</v>
      </c>
      <c r="AB14">
        <v>-1.4976798280937734E-4</v>
      </c>
      <c r="AC14">
        <v>-9.1021842269219371E-5</v>
      </c>
      <c r="AD14">
        <v>-6.8133419927211893E-5</v>
      </c>
      <c r="AE14">
        <v>-1.9539853167953043E-4</v>
      </c>
      <c r="AF14">
        <v>1.7860125300806235E-5</v>
      </c>
      <c r="AG14">
        <v>-5.117247108313446E-5</v>
      </c>
      <c r="AH14">
        <v>-2.2621205408163148E-5</v>
      </c>
      <c r="AI14">
        <v>-1.1815262586696234E-4</v>
      </c>
      <c r="AJ14">
        <v>-2.0085296902600468E-4</v>
      </c>
      <c r="AK14">
        <v>-3.8619813065459731E-5</v>
      </c>
      <c r="AL14">
        <v>4.3470608537123784E-5</v>
      </c>
    </row>
    <row r="15" spans="1:38" x14ac:dyDescent="0.2">
      <c r="A15" t="s">
        <v>26</v>
      </c>
      <c r="B15">
        <v>0.16788462988818462</v>
      </c>
      <c r="C15">
        <v>1.0113937218961852E-6</v>
      </c>
      <c r="D15">
        <v>-7.2795937570792633E-5</v>
      </c>
      <c r="E15">
        <v>1.3797988040657668E-6</v>
      </c>
      <c r="F15">
        <v>-5.1477405488061551E-7</v>
      </c>
      <c r="G15">
        <v>-1.2336917663812768E-7</v>
      </c>
      <c r="H15">
        <v>-1.4225538329799481E-4</v>
      </c>
      <c r="I15">
        <v>2.0508342396626721E-4</v>
      </c>
      <c r="J15">
        <v>-9.5999728760817331E-5</v>
      </c>
      <c r="K15">
        <v>5.2407980440490576E-5</v>
      </c>
      <c r="L15">
        <v>1.6273946599844311E-6</v>
      </c>
      <c r="M15">
        <v>-9.0521128924392263E-6</v>
      </c>
      <c r="N15">
        <v>2.2060506415299441E-5</v>
      </c>
      <c r="O15">
        <v>-1.856945028513018E-4</v>
      </c>
      <c r="P15">
        <v>6.9275890243801063E-4</v>
      </c>
      <c r="Q15">
        <v>3.8541370523665985E-5</v>
      </c>
      <c r="R15">
        <v>-7.2475923723748438E-5</v>
      </c>
      <c r="S15">
        <v>2.4637317800889122E-5</v>
      </c>
      <c r="T15">
        <v>-7.4742337154504805E-5</v>
      </c>
      <c r="U15">
        <v>-2.2335534111278665E-5</v>
      </c>
      <c r="V15">
        <v>-5.1352990622804394E-5</v>
      </c>
      <c r="W15">
        <v>-3.8218555959531185E-5</v>
      </c>
      <c r="X15">
        <v>-5.3711791985966217E-5</v>
      </c>
      <c r="Y15">
        <v>-3.2289573827573066E-5</v>
      </c>
      <c r="Z15">
        <v>-1.3012730981554394E-4</v>
      </c>
      <c r="AA15">
        <v>-3.3265604737694241E-5</v>
      </c>
      <c r="AB15">
        <v>-2.456978806232481E-5</v>
      </c>
      <c r="AC15">
        <v>-1.1896915164271186E-4</v>
      </c>
      <c r="AD15">
        <v>-1.0895520225435168E-4</v>
      </c>
      <c r="AE15">
        <v>-6.2830049325194313E-5</v>
      </c>
      <c r="AF15">
        <v>2.6914162160568221E-5</v>
      </c>
      <c r="AG15">
        <v>7.3090305524130646E-5</v>
      </c>
      <c r="AH15">
        <v>6.7007874260880166E-5</v>
      </c>
      <c r="AI15">
        <v>8.2514014695246311E-5</v>
      </c>
      <c r="AJ15">
        <v>3.3927801326649284E-5</v>
      </c>
      <c r="AK15">
        <v>-1.5405377688813122E-4</v>
      </c>
      <c r="AL15">
        <v>-9.4907875101970997E-4</v>
      </c>
    </row>
    <row r="16" spans="1:38" x14ac:dyDescent="0.2">
      <c r="A16" t="s">
        <v>27</v>
      </c>
      <c r="B16">
        <v>6.1753723678471071E-3</v>
      </c>
      <c r="C16">
        <v>4.9670434483403908E-4</v>
      </c>
      <c r="D16">
        <v>-3.7356494079376044E-5</v>
      </c>
      <c r="E16">
        <v>4.2759490528279252E-7</v>
      </c>
      <c r="F16">
        <v>6.2981877158203858E-7</v>
      </c>
      <c r="G16">
        <v>1.0685483222401793E-6</v>
      </c>
      <c r="H16">
        <v>1.3685166363705404E-4</v>
      </c>
      <c r="I16">
        <v>1.2656462735071263E-4</v>
      </c>
      <c r="J16">
        <v>-3.8093747183923053E-4</v>
      </c>
      <c r="K16">
        <v>-2.1166851586451292E-6</v>
      </c>
      <c r="L16">
        <v>1.8597997617041221E-4</v>
      </c>
      <c r="M16">
        <v>3.6901567411737601E-4</v>
      </c>
      <c r="N16">
        <v>3.9860108770956612E-4</v>
      </c>
      <c r="O16">
        <v>1.2461470677446637E-4</v>
      </c>
      <c r="P16">
        <v>3.8541370523665985E-5</v>
      </c>
      <c r="Q16">
        <v>2.6726657884742744E-3</v>
      </c>
      <c r="R16">
        <v>2.3460161614374431E-4</v>
      </c>
      <c r="S16">
        <v>4.0396583050678902E-5</v>
      </c>
      <c r="T16">
        <v>-1.5383907320850056E-4</v>
      </c>
      <c r="U16">
        <v>-2.2567480899946928E-5</v>
      </c>
      <c r="V16">
        <v>-1.3737007142185329E-4</v>
      </c>
      <c r="W16">
        <v>-2.3936521514710827E-5</v>
      </c>
      <c r="X16">
        <v>-1.2946108255463282E-4</v>
      </c>
      <c r="Y16">
        <v>-1.3495073394113156E-4</v>
      </c>
      <c r="Z16">
        <v>3.3568467334576569E-5</v>
      </c>
      <c r="AA16">
        <v>-1.1045829489808995E-4</v>
      </c>
      <c r="AB16">
        <v>-8.1067532035111877E-5</v>
      </c>
      <c r="AC16">
        <v>-1.0003898035510373E-4</v>
      </c>
      <c r="AD16">
        <v>-1.2657168058126248E-4</v>
      </c>
      <c r="AE16">
        <v>-2.3614508635891454E-4</v>
      </c>
      <c r="AF16">
        <v>5.9550340722779266E-5</v>
      </c>
      <c r="AG16">
        <v>4.1233731501913028E-5</v>
      </c>
      <c r="AH16">
        <v>-4.5066907372448057E-5</v>
      </c>
      <c r="AI16">
        <v>-1.9753055342052901E-4</v>
      </c>
      <c r="AJ16">
        <v>-1.6731189525494216E-4</v>
      </c>
      <c r="AK16">
        <v>4.0364711340735299E-4</v>
      </c>
      <c r="AL16">
        <v>-3.2877227298420794E-3</v>
      </c>
    </row>
    <row r="17" spans="1:38" x14ac:dyDescent="0.2">
      <c r="A17" t="s">
        <v>28</v>
      </c>
      <c r="B17">
        <v>-2.857039772705372E-2</v>
      </c>
      <c r="C17">
        <v>2.9322771365130999E-4</v>
      </c>
      <c r="D17">
        <v>-9.6424489691862916E-6</v>
      </c>
      <c r="E17">
        <v>1.68033671853316E-7</v>
      </c>
      <c r="F17">
        <v>1.9492088234110484E-6</v>
      </c>
      <c r="G17">
        <v>-2.4121673474032451E-6</v>
      </c>
      <c r="H17">
        <v>5.1378672586166268E-4</v>
      </c>
      <c r="I17">
        <v>-3.2397927403200039E-4</v>
      </c>
      <c r="J17">
        <v>-1.0955717677194315E-4</v>
      </c>
      <c r="K17">
        <v>1.4675730200683194E-5</v>
      </c>
      <c r="L17">
        <v>6.5609535066041605E-5</v>
      </c>
      <c r="M17">
        <v>7.9465848005584507E-5</v>
      </c>
      <c r="N17">
        <v>-2.4261828729811005E-4</v>
      </c>
      <c r="O17">
        <v>6.0023707291406275E-5</v>
      </c>
      <c r="P17">
        <v>-7.2475923723748438E-5</v>
      </c>
      <c r="Q17">
        <v>2.3460161614374431E-4</v>
      </c>
      <c r="R17">
        <v>8.236245554461832E-4</v>
      </c>
      <c r="S17">
        <v>-3.2461727831510813E-5</v>
      </c>
      <c r="T17">
        <v>1.8064121282713773E-5</v>
      </c>
      <c r="U17">
        <v>1.3949404650707336E-4</v>
      </c>
      <c r="V17">
        <v>9.7667949926191538E-5</v>
      </c>
      <c r="W17">
        <v>1.530197193814721E-4</v>
      </c>
      <c r="X17">
        <v>1.3598312619702077E-4</v>
      </c>
      <c r="Y17">
        <v>1.5245295686226431E-4</v>
      </c>
      <c r="Z17">
        <v>5.4563069990144048E-4</v>
      </c>
      <c r="AA17">
        <v>4.7969192084470211E-5</v>
      </c>
      <c r="AB17">
        <v>2.0513423056975393E-4</v>
      </c>
      <c r="AC17">
        <v>3.2841857560980144E-4</v>
      </c>
      <c r="AD17">
        <v>3.7555622516085218E-5</v>
      </c>
      <c r="AE17">
        <v>8.7488475686678131E-5</v>
      </c>
      <c r="AF17">
        <v>-3.1293185514021984E-5</v>
      </c>
      <c r="AG17">
        <v>-1.6126023072268346E-4</v>
      </c>
      <c r="AH17">
        <v>-1.4607868310089367E-4</v>
      </c>
      <c r="AI17">
        <v>-8.2136315290892313E-5</v>
      </c>
      <c r="AJ17">
        <v>5.6853497491184363E-5</v>
      </c>
      <c r="AK17">
        <v>1.2600189609601933E-3</v>
      </c>
      <c r="AL17">
        <v>2.0326671694805591E-3</v>
      </c>
    </row>
    <row r="18" spans="1:38" x14ac:dyDescent="0.2">
      <c r="A18" t="s">
        <v>29</v>
      </c>
      <c r="B18">
        <v>4.4217377181389418E-3</v>
      </c>
      <c r="C18">
        <v>-1.1888182959132331E-4</v>
      </c>
      <c r="D18">
        <v>-9.5251835116818987E-6</v>
      </c>
      <c r="E18">
        <v>1.6086958888222359E-7</v>
      </c>
      <c r="F18">
        <v>-7.6099522688477953E-7</v>
      </c>
      <c r="G18">
        <v>1.2243568445768796E-6</v>
      </c>
      <c r="H18">
        <v>4.0060671807555372E-5</v>
      </c>
      <c r="I18">
        <v>-5.3409189012536284E-5</v>
      </c>
      <c r="J18">
        <v>1.2710126904936397E-4</v>
      </c>
      <c r="K18">
        <v>-2.7615825078972875E-5</v>
      </c>
      <c r="L18">
        <v>-5.2002625691095663E-5</v>
      </c>
      <c r="M18">
        <v>-6.9447777618375956E-5</v>
      </c>
      <c r="N18">
        <v>-4.4905982821475982E-6</v>
      </c>
      <c r="O18">
        <v>9.7208590636868131E-6</v>
      </c>
      <c r="P18">
        <v>2.4637317800889122E-5</v>
      </c>
      <c r="Q18">
        <v>4.0396583050678902E-5</v>
      </c>
      <c r="R18">
        <v>-3.2461727831510813E-5</v>
      </c>
      <c r="S18">
        <v>1.3144696185554954E-4</v>
      </c>
      <c r="T18">
        <v>-1.2627528594653535E-5</v>
      </c>
      <c r="U18">
        <v>-6.4522130946745123E-5</v>
      </c>
      <c r="V18">
        <v>-7.1180565059339711E-5</v>
      </c>
      <c r="W18">
        <v>-6.897006317059778E-5</v>
      </c>
      <c r="X18">
        <v>-4.925972954050381E-5</v>
      </c>
      <c r="Y18">
        <v>-4.4280531223611815E-5</v>
      </c>
      <c r="Z18">
        <v>-1.7373120861532629E-4</v>
      </c>
      <c r="AA18">
        <v>-7.029153029454731E-5</v>
      </c>
      <c r="AB18">
        <v>-7.0664859774295825E-5</v>
      </c>
      <c r="AC18">
        <v>-1.0260146132363675E-4</v>
      </c>
      <c r="AD18">
        <v>-9.2692278012528918E-5</v>
      </c>
      <c r="AE18">
        <v>-5.247179389033553E-5</v>
      </c>
      <c r="AF18">
        <v>1.4427981051961061E-4</v>
      </c>
      <c r="AG18">
        <v>2.399111211998841E-4</v>
      </c>
      <c r="AH18">
        <v>3.0318174981175047E-6</v>
      </c>
      <c r="AI18">
        <v>-1.3490536426123256E-5</v>
      </c>
      <c r="AJ18">
        <v>-4.1667382574985586E-5</v>
      </c>
      <c r="AK18">
        <v>-3.6338975652638883E-4</v>
      </c>
      <c r="AL18">
        <v>-9.9010743776836441E-3</v>
      </c>
    </row>
    <row r="19" spans="1:38" x14ac:dyDescent="0.2">
      <c r="A19" t="s">
        <v>30</v>
      </c>
      <c r="B19">
        <v>0.10563891621055564</v>
      </c>
      <c r="C19">
        <v>1.0199109295055935E-3</v>
      </c>
      <c r="D19">
        <v>2.9250763116885824E-5</v>
      </c>
      <c r="E19">
        <v>-4.9421886907124226E-7</v>
      </c>
      <c r="F19">
        <v>8.6450308998373825E-6</v>
      </c>
      <c r="G19">
        <v>4.204346238980311E-6</v>
      </c>
      <c r="H19">
        <v>1.0029412965188538E-4</v>
      </c>
      <c r="I19">
        <v>-2.8388705263041069E-6</v>
      </c>
      <c r="J19">
        <v>-5.5007105061905665E-4</v>
      </c>
      <c r="K19">
        <v>3.2516273591913199E-4</v>
      </c>
      <c r="L19">
        <v>5.6753835923684603E-4</v>
      </c>
      <c r="M19">
        <v>6.790643479156627E-4</v>
      </c>
      <c r="N19">
        <v>6.921198573000499E-4</v>
      </c>
      <c r="O19">
        <v>-9.3679197758310292E-5</v>
      </c>
      <c r="P19">
        <v>-7.4742337154504805E-5</v>
      </c>
      <c r="Q19">
        <v>-1.5383907320850056E-4</v>
      </c>
      <c r="R19">
        <v>1.8064121282713773E-5</v>
      </c>
      <c r="S19">
        <v>-1.2627528594653535E-5</v>
      </c>
      <c r="T19">
        <v>1.1179132437429725E-3</v>
      </c>
      <c r="U19">
        <v>8.7577718951570619E-5</v>
      </c>
      <c r="V19">
        <v>1.4782151443165252E-4</v>
      </c>
      <c r="W19">
        <v>1.2021274104523062E-4</v>
      </c>
      <c r="X19">
        <v>1.4235436072629223E-4</v>
      </c>
      <c r="Y19">
        <v>8.5612186337328806E-5</v>
      </c>
      <c r="Z19">
        <v>1.8223147975550977E-4</v>
      </c>
      <c r="AA19">
        <v>7.0988986393111144E-5</v>
      </c>
      <c r="AB19">
        <v>1.2793728228740521E-4</v>
      </c>
      <c r="AC19">
        <v>5.6903460382399487E-5</v>
      </c>
      <c r="AD19">
        <v>1.2808155560708624E-4</v>
      </c>
      <c r="AE19">
        <v>1.6609261590553649E-4</v>
      </c>
      <c r="AF19">
        <v>-1.0694060689865232E-5</v>
      </c>
      <c r="AG19">
        <v>4.1218898194992758E-6</v>
      </c>
      <c r="AH19">
        <v>-8.0479016927309435E-5</v>
      </c>
      <c r="AI19">
        <v>-1.2194659644553429E-4</v>
      </c>
      <c r="AJ19">
        <v>5.6130485394370036E-5</v>
      </c>
      <c r="AK19">
        <v>1.4620496653554305E-4</v>
      </c>
      <c r="AL19">
        <v>-9.7122339956280321E-4</v>
      </c>
    </row>
    <row r="20" spans="1:38" x14ac:dyDescent="0.2">
      <c r="A20" t="s">
        <v>58</v>
      </c>
      <c r="B20">
        <v>-2.135861807923187E-2</v>
      </c>
      <c r="C20">
        <v>-7.6867217283340869E-4</v>
      </c>
      <c r="D20">
        <v>1.0002735466555884E-4</v>
      </c>
      <c r="E20">
        <v>-1.6460043078768657E-6</v>
      </c>
      <c r="F20">
        <v>2.3840960654137309E-6</v>
      </c>
      <c r="G20">
        <v>-4.2902152116887337E-6</v>
      </c>
      <c r="H20">
        <v>-1.0528942491682516E-4</v>
      </c>
      <c r="I20">
        <v>9.6250531372875221E-5</v>
      </c>
      <c r="J20">
        <v>6.8504499296934368E-4</v>
      </c>
      <c r="K20">
        <v>1.6448988830135151E-4</v>
      </c>
      <c r="L20">
        <v>3.2929314734900518E-5</v>
      </c>
      <c r="M20">
        <v>2.2186943271078577E-4</v>
      </c>
      <c r="N20">
        <v>-1.0119932177582933E-4</v>
      </c>
      <c r="O20">
        <v>-1.6221850859829569E-4</v>
      </c>
      <c r="P20">
        <v>-2.2335534111278665E-5</v>
      </c>
      <c r="Q20">
        <v>-2.2567480899946928E-5</v>
      </c>
      <c r="R20">
        <v>1.3949404650707336E-4</v>
      </c>
      <c r="S20">
        <v>-6.4522130946745123E-5</v>
      </c>
      <c r="T20">
        <v>8.7577718951570619E-5</v>
      </c>
      <c r="U20">
        <v>5.6608810275070474E-3</v>
      </c>
      <c r="V20">
        <v>1.8591409292627846E-3</v>
      </c>
      <c r="W20">
        <v>1.9190569844707861E-3</v>
      </c>
      <c r="X20">
        <v>1.8383992805827119E-3</v>
      </c>
      <c r="Y20">
        <v>1.8329372944553709E-3</v>
      </c>
      <c r="Z20">
        <v>2.2257051522155302E-3</v>
      </c>
      <c r="AA20">
        <v>1.9127952927938947E-3</v>
      </c>
      <c r="AB20">
        <v>1.9672640506869341E-3</v>
      </c>
      <c r="AC20">
        <v>1.945965462903267E-3</v>
      </c>
      <c r="AD20">
        <v>1.9234477107744684E-3</v>
      </c>
      <c r="AE20">
        <v>1.9343044580812621E-3</v>
      </c>
      <c r="AF20">
        <v>-6.9094747112861973E-5</v>
      </c>
      <c r="AG20">
        <v>-2.8005410604675803E-5</v>
      </c>
      <c r="AH20">
        <v>2.0423697293137961E-4</v>
      </c>
      <c r="AI20">
        <v>5.9224413869623344E-4</v>
      </c>
      <c r="AJ20">
        <v>1.2144513629366539E-3</v>
      </c>
      <c r="AK20">
        <v>1.8557043096713291E-3</v>
      </c>
      <c r="AL20">
        <v>1.5986915577590015E-3</v>
      </c>
    </row>
    <row r="21" spans="1:38" x14ac:dyDescent="0.2">
      <c r="A21" t="s">
        <v>59</v>
      </c>
      <c r="B21">
        <v>3.8533351018769653E-2</v>
      </c>
      <c r="C21">
        <v>9.984389908248366E-5</v>
      </c>
      <c r="D21">
        <v>9.7696914190666291E-5</v>
      </c>
      <c r="E21">
        <v>-1.511375231351639E-6</v>
      </c>
      <c r="F21">
        <v>4.8115884531034839E-6</v>
      </c>
      <c r="G21">
        <v>-4.7004202082236781E-6</v>
      </c>
      <c r="H21">
        <v>6.1315621847184644E-5</v>
      </c>
      <c r="I21">
        <v>2.7722529029310041E-5</v>
      </c>
      <c r="J21">
        <v>-6.7666034578803822E-5</v>
      </c>
      <c r="K21">
        <v>1.2812622383479456E-4</v>
      </c>
      <c r="L21">
        <v>9.2500495107432183E-5</v>
      </c>
      <c r="M21">
        <v>2.1121108277514567E-4</v>
      </c>
      <c r="N21">
        <v>-3.1840166746585554E-5</v>
      </c>
      <c r="O21">
        <v>-1.4674446367413883E-4</v>
      </c>
      <c r="P21">
        <v>-5.1352990622804394E-5</v>
      </c>
      <c r="Q21">
        <v>-1.3737007142185329E-4</v>
      </c>
      <c r="R21">
        <v>9.7667949926191538E-5</v>
      </c>
      <c r="S21">
        <v>-7.1180565059339711E-5</v>
      </c>
      <c r="T21">
        <v>1.4782151443165252E-4</v>
      </c>
      <c r="U21">
        <v>1.8591409292627846E-3</v>
      </c>
      <c r="V21">
        <v>2.9039977571823456E-3</v>
      </c>
      <c r="W21">
        <v>1.8739630910458919E-3</v>
      </c>
      <c r="X21">
        <v>1.8121681294246098E-3</v>
      </c>
      <c r="Y21">
        <v>1.8020160735778359E-3</v>
      </c>
      <c r="Z21">
        <v>2.0843157520595663E-3</v>
      </c>
      <c r="AA21">
        <v>1.8547431115490322E-3</v>
      </c>
      <c r="AB21">
        <v>1.914212224839543E-3</v>
      </c>
      <c r="AC21">
        <v>1.8925716503594924E-3</v>
      </c>
      <c r="AD21">
        <v>1.85917984157854E-3</v>
      </c>
      <c r="AE21">
        <v>1.8862661205087702E-3</v>
      </c>
      <c r="AF21">
        <v>-8.1414709880936332E-5</v>
      </c>
      <c r="AG21">
        <v>-1.5782093667150081E-4</v>
      </c>
      <c r="AH21">
        <v>1.3283433572146665E-5</v>
      </c>
      <c r="AI21">
        <v>4.8585264649222287E-4</v>
      </c>
      <c r="AJ21">
        <v>1.0697430335632205E-3</v>
      </c>
      <c r="AK21">
        <v>1.3332469138493909E-3</v>
      </c>
      <c r="AL21">
        <v>2.0554803050872638E-3</v>
      </c>
    </row>
    <row r="22" spans="1:38" x14ac:dyDescent="0.2">
      <c r="A22" t="s">
        <v>60</v>
      </c>
      <c r="B22">
        <v>-3.1788219827852154E-2</v>
      </c>
      <c r="C22">
        <v>3.3524910201289176E-4</v>
      </c>
      <c r="D22">
        <v>1.5148120499464178E-4</v>
      </c>
      <c r="E22">
        <v>-2.2779225865682543E-6</v>
      </c>
      <c r="F22">
        <v>3.6774430108195735E-6</v>
      </c>
      <c r="G22">
        <v>-3.0597444992366266E-6</v>
      </c>
      <c r="H22">
        <v>5.3322173083678868E-5</v>
      </c>
      <c r="I22">
        <v>9.346031915774471E-5</v>
      </c>
      <c r="J22">
        <v>3.8000768571551206E-4</v>
      </c>
      <c r="K22">
        <v>5.1012743587803262E-5</v>
      </c>
      <c r="L22">
        <v>3.6926477130828437E-5</v>
      </c>
      <c r="M22">
        <v>1.7325042355343019E-4</v>
      </c>
      <c r="N22">
        <v>-1.0609390932996785E-4</v>
      </c>
      <c r="O22">
        <v>-1.6526403002724933E-4</v>
      </c>
      <c r="P22">
        <v>-3.8218555959531185E-5</v>
      </c>
      <c r="Q22">
        <v>-2.3936521514710827E-5</v>
      </c>
      <c r="R22">
        <v>1.530197193814721E-4</v>
      </c>
      <c r="S22">
        <v>-6.897006317059778E-5</v>
      </c>
      <c r="T22">
        <v>1.2021274104523062E-4</v>
      </c>
      <c r="U22">
        <v>1.9190569844707861E-3</v>
      </c>
      <c r="V22">
        <v>1.8739630910458919E-3</v>
      </c>
      <c r="W22">
        <v>3.3756487228513449E-3</v>
      </c>
      <c r="X22">
        <v>1.8569111189024347E-3</v>
      </c>
      <c r="Y22">
        <v>1.8432616468665765E-3</v>
      </c>
      <c r="Z22">
        <v>2.2526077185056788E-3</v>
      </c>
      <c r="AA22">
        <v>1.9050410418377714E-3</v>
      </c>
      <c r="AB22">
        <v>1.9834305206510102E-3</v>
      </c>
      <c r="AC22">
        <v>1.9719113567191232E-3</v>
      </c>
      <c r="AD22">
        <v>1.9119262111984734E-3</v>
      </c>
      <c r="AE22">
        <v>1.9247589718000176E-3</v>
      </c>
      <c r="AF22">
        <v>-7.3788602869268659E-5</v>
      </c>
      <c r="AG22">
        <v>-1.4837569300972053E-4</v>
      </c>
      <c r="AH22">
        <v>-1.420981453663765E-4</v>
      </c>
      <c r="AI22">
        <v>6.2447968276695912E-4</v>
      </c>
      <c r="AJ22">
        <v>1.1006478529723776E-3</v>
      </c>
      <c r="AK22">
        <v>1.8522942790449555E-3</v>
      </c>
      <c r="AL22">
        <v>8.3708268422971136E-4</v>
      </c>
    </row>
    <row r="23" spans="1:38" x14ac:dyDescent="0.2">
      <c r="A23" t="s">
        <v>61</v>
      </c>
      <c r="B23">
        <v>6.477210550282235E-2</v>
      </c>
      <c r="C23">
        <v>2.5420126683451446E-4</v>
      </c>
      <c r="D23">
        <v>1.5591486103426824E-4</v>
      </c>
      <c r="E23">
        <v>-2.4279442505759285E-6</v>
      </c>
      <c r="F23">
        <v>2.4271270391676672E-6</v>
      </c>
      <c r="G23">
        <v>-2.44331961657537E-6</v>
      </c>
      <c r="H23">
        <v>1.02317369423931E-6</v>
      </c>
      <c r="I23">
        <v>2.5625850678009736E-5</v>
      </c>
      <c r="J23">
        <v>-7.4020544988307087E-5</v>
      </c>
      <c r="K23">
        <v>7.5102046503477678E-5</v>
      </c>
      <c r="L23">
        <v>3.5082785808202986E-6</v>
      </c>
      <c r="M23">
        <v>4.40300400463771E-5</v>
      </c>
      <c r="N23">
        <v>-1.093790572759972E-4</v>
      </c>
      <c r="O23">
        <v>-1.5547688599456215E-4</v>
      </c>
      <c r="P23">
        <v>-5.3711791985966217E-5</v>
      </c>
      <c r="Q23">
        <v>-1.2946108255463282E-4</v>
      </c>
      <c r="R23">
        <v>1.3598312619702077E-4</v>
      </c>
      <c r="S23">
        <v>-4.925972954050381E-5</v>
      </c>
      <c r="T23">
        <v>1.4235436072629223E-4</v>
      </c>
      <c r="U23">
        <v>1.8383992805827119E-3</v>
      </c>
      <c r="V23">
        <v>1.8121681294246098E-3</v>
      </c>
      <c r="W23">
        <v>1.8569111189024347E-3</v>
      </c>
      <c r="X23">
        <v>3.3608982072781779E-3</v>
      </c>
      <c r="Y23">
        <v>1.8006741756848976E-3</v>
      </c>
      <c r="Z23">
        <v>2.0176874154115322E-3</v>
      </c>
      <c r="AA23">
        <v>1.852914074370549E-3</v>
      </c>
      <c r="AB23">
        <v>1.8988313543410002E-3</v>
      </c>
      <c r="AC23">
        <v>1.8969466187504266E-3</v>
      </c>
      <c r="AD23">
        <v>1.837663903404597E-3</v>
      </c>
      <c r="AE23">
        <v>1.8871044816417318E-3</v>
      </c>
      <c r="AF23">
        <v>-6.0230969855894811E-5</v>
      </c>
      <c r="AG23">
        <v>-1.4933057936337762E-5</v>
      </c>
      <c r="AH23">
        <v>5.1566806203458715E-5</v>
      </c>
      <c r="AI23">
        <v>4.8792132441952764E-4</v>
      </c>
      <c r="AJ23">
        <v>1.0984911221363235E-3</v>
      </c>
      <c r="AK23">
        <v>1.006817640269999E-3</v>
      </c>
      <c r="AL23">
        <v>-3.5028013156767051E-4</v>
      </c>
    </row>
    <row r="24" spans="1:38" x14ac:dyDescent="0.2">
      <c r="A24" t="s">
        <v>62</v>
      </c>
      <c r="B24">
        <v>2.7190868861843021E-2</v>
      </c>
      <c r="C24">
        <v>1.1485613489280017E-3</v>
      </c>
      <c r="D24">
        <v>1.6376817462572155E-4</v>
      </c>
      <c r="E24">
        <v>-2.4522016072277854E-6</v>
      </c>
      <c r="F24">
        <v>3.4114284080579385E-6</v>
      </c>
      <c r="G24">
        <v>-2.3889324198519153E-6</v>
      </c>
      <c r="H24">
        <v>-1.0488322641726043E-4</v>
      </c>
      <c r="I24">
        <v>1.2023779858695669E-4</v>
      </c>
      <c r="J24">
        <v>-9.9234758414413734E-4</v>
      </c>
      <c r="K24">
        <v>4.1714865829139438E-5</v>
      </c>
      <c r="L24">
        <v>-2.9575608927375646E-5</v>
      </c>
      <c r="M24">
        <v>-2.2169122958862219E-5</v>
      </c>
      <c r="N24">
        <v>-2.3580220127684211E-4</v>
      </c>
      <c r="O24">
        <v>-1.7300669066419718E-4</v>
      </c>
      <c r="P24">
        <v>-3.2289573827573066E-5</v>
      </c>
      <c r="Q24">
        <v>-1.3495073394113156E-4</v>
      </c>
      <c r="R24">
        <v>1.5245295686226431E-4</v>
      </c>
      <c r="S24">
        <v>-4.4280531223611815E-5</v>
      </c>
      <c r="T24">
        <v>8.5612186337328806E-5</v>
      </c>
      <c r="U24">
        <v>1.8329372944553709E-3</v>
      </c>
      <c r="V24">
        <v>1.8020160735778359E-3</v>
      </c>
      <c r="W24">
        <v>1.8432616468665765E-3</v>
      </c>
      <c r="X24">
        <v>1.8006741756848976E-3</v>
      </c>
      <c r="Y24">
        <v>3.2728464856862272E-3</v>
      </c>
      <c r="Z24">
        <v>2.0245120832108523E-3</v>
      </c>
      <c r="AA24">
        <v>1.8369250440354358E-3</v>
      </c>
      <c r="AB24">
        <v>1.8822998102729926E-3</v>
      </c>
      <c r="AC24">
        <v>1.8685294126953387E-3</v>
      </c>
      <c r="AD24">
        <v>1.8234328505293124E-3</v>
      </c>
      <c r="AE24">
        <v>1.8609015339982123E-3</v>
      </c>
      <c r="AF24">
        <v>-5.8479465151557741E-5</v>
      </c>
      <c r="AG24">
        <v>2.2584090246911316E-5</v>
      </c>
      <c r="AH24">
        <v>-7.8491701891311597E-5</v>
      </c>
      <c r="AI24">
        <v>3.9237678988010604E-4</v>
      </c>
      <c r="AJ24">
        <v>1.0532951890322622E-3</v>
      </c>
      <c r="AK24">
        <v>1.2138140024922249E-3</v>
      </c>
      <c r="AL24">
        <v>-8.34206679467305E-4</v>
      </c>
    </row>
    <row r="25" spans="1:38" x14ac:dyDescent="0.2">
      <c r="A25" t="s">
        <v>63</v>
      </c>
      <c r="B25">
        <v>0.1350892973716287</v>
      </c>
      <c r="C25">
        <v>7.4899313178116312E-4</v>
      </c>
      <c r="D25">
        <v>2.3104011680858544E-4</v>
      </c>
      <c r="E25">
        <v>-3.6698382589821471E-6</v>
      </c>
      <c r="F25">
        <v>1.0082272882249189E-5</v>
      </c>
      <c r="G25">
        <v>-1.3634444692038549E-5</v>
      </c>
      <c r="H25">
        <v>5.1918324552524596E-4</v>
      </c>
      <c r="I25">
        <v>2.0126442066409605E-4</v>
      </c>
      <c r="J25">
        <v>-7.163048834337854E-4</v>
      </c>
      <c r="K25">
        <v>2.4111404512851828E-4</v>
      </c>
      <c r="L25">
        <v>3.5881530777412906E-4</v>
      </c>
      <c r="M25">
        <v>9.6910402301407083E-4</v>
      </c>
      <c r="N25">
        <v>1.4268890174766783E-4</v>
      </c>
      <c r="O25">
        <v>-9.0688177183661091E-5</v>
      </c>
      <c r="P25">
        <v>-1.3012730981554394E-4</v>
      </c>
      <c r="Q25">
        <v>3.3568467334576569E-5</v>
      </c>
      <c r="R25">
        <v>5.4563069990144048E-4</v>
      </c>
      <c r="S25">
        <v>-1.7373120861532629E-4</v>
      </c>
      <c r="T25">
        <v>1.8223147975550977E-4</v>
      </c>
      <c r="U25">
        <v>2.2257051522155302E-3</v>
      </c>
      <c r="V25">
        <v>2.0843157520595663E-3</v>
      </c>
      <c r="W25">
        <v>2.2526077185056788E-3</v>
      </c>
      <c r="X25">
        <v>2.0176874154115322E-3</v>
      </c>
      <c r="Y25">
        <v>2.0245120832108523E-3</v>
      </c>
      <c r="Z25">
        <v>4.7946962091996483E-3</v>
      </c>
      <c r="AA25">
        <v>2.0844540782810447E-3</v>
      </c>
      <c r="AB25">
        <v>2.2759411718897317E-3</v>
      </c>
      <c r="AC25">
        <v>2.1764611310519061E-3</v>
      </c>
      <c r="AD25">
        <v>2.078737832364248E-3</v>
      </c>
      <c r="AE25">
        <v>2.0937782408176476E-3</v>
      </c>
      <c r="AF25">
        <v>-1.4408431904703429E-4</v>
      </c>
      <c r="AG25">
        <v>-7.3929879812881932E-4</v>
      </c>
      <c r="AH25">
        <v>-6.3263093883423683E-4</v>
      </c>
      <c r="AI25">
        <v>5.477153252213434E-4</v>
      </c>
      <c r="AJ25">
        <v>8.0382141040424133E-4</v>
      </c>
      <c r="AK25">
        <v>5.3073350236216548E-3</v>
      </c>
      <c r="AL25">
        <v>6.2611633870054305E-3</v>
      </c>
    </row>
    <row r="26" spans="1:38" x14ac:dyDescent="0.2">
      <c r="A26" t="s">
        <v>64</v>
      </c>
      <c r="B26">
        <v>2.740888536935852E-2</v>
      </c>
      <c r="C26">
        <v>-4.5955709518940104E-5</v>
      </c>
      <c r="D26">
        <v>1.5391516887753535E-4</v>
      </c>
      <c r="E26">
        <v>-2.3293870021122354E-6</v>
      </c>
      <c r="F26">
        <v>2.7490599463275653E-7</v>
      </c>
      <c r="G26">
        <v>-3.7931236235384597E-6</v>
      </c>
      <c r="H26">
        <v>-3.7212874121537955E-4</v>
      </c>
      <c r="I26">
        <v>4.3812760120378181E-4</v>
      </c>
      <c r="J26">
        <v>1.4257303752801458E-4</v>
      </c>
      <c r="K26">
        <v>1.0903687405531835E-4</v>
      </c>
      <c r="L26">
        <v>4.3008552664959023E-5</v>
      </c>
      <c r="M26">
        <v>1.3988505826648524E-4</v>
      </c>
      <c r="N26">
        <v>-6.7616915026951369E-5</v>
      </c>
      <c r="O26">
        <v>-1.6245075316840405E-4</v>
      </c>
      <c r="P26">
        <v>-3.3265604737694241E-5</v>
      </c>
      <c r="Q26">
        <v>-1.1045829489808995E-4</v>
      </c>
      <c r="R26">
        <v>4.7969192084470211E-5</v>
      </c>
      <c r="S26">
        <v>-7.029153029454731E-5</v>
      </c>
      <c r="T26">
        <v>7.0988986393111144E-5</v>
      </c>
      <c r="U26">
        <v>1.9127952927938947E-3</v>
      </c>
      <c r="V26">
        <v>1.8547431115490322E-3</v>
      </c>
      <c r="W26">
        <v>1.9050410418377714E-3</v>
      </c>
      <c r="X26">
        <v>1.852914074370549E-3</v>
      </c>
      <c r="Y26">
        <v>1.8369250440354358E-3</v>
      </c>
      <c r="Z26">
        <v>2.0844540782810447E-3</v>
      </c>
      <c r="AA26">
        <v>2.9556717373847019E-3</v>
      </c>
      <c r="AB26">
        <v>1.9415041072444598E-3</v>
      </c>
      <c r="AC26">
        <v>1.9284005631256575E-3</v>
      </c>
      <c r="AD26">
        <v>1.8781895595058624E-3</v>
      </c>
      <c r="AE26">
        <v>1.9168530632422964E-3</v>
      </c>
      <c r="AF26">
        <v>-7.106403708327659E-5</v>
      </c>
      <c r="AG26">
        <v>-2.5048121641263227E-4</v>
      </c>
      <c r="AH26">
        <v>-1.189999328855035E-4</v>
      </c>
      <c r="AI26">
        <v>4.6227559308469084E-4</v>
      </c>
      <c r="AJ26">
        <v>1.4471396875052243E-3</v>
      </c>
      <c r="AK26">
        <v>1.1588471591381204E-3</v>
      </c>
      <c r="AL26">
        <v>1.1646950096325139E-3</v>
      </c>
    </row>
    <row r="27" spans="1:38" x14ac:dyDescent="0.2">
      <c r="A27" t="s">
        <v>65</v>
      </c>
      <c r="B27">
        <v>6.3273413479127738E-2</v>
      </c>
      <c r="C27">
        <v>2.4187105804385385E-4</v>
      </c>
      <c r="D27">
        <v>1.6588269486281671E-4</v>
      </c>
      <c r="E27">
        <v>-2.5452449906960482E-6</v>
      </c>
      <c r="F27">
        <v>3.4694168300993608E-6</v>
      </c>
      <c r="G27">
        <v>-3.6845379686436033E-6</v>
      </c>
      <c r="H27">
        <v>-1.7790452164547508E-6</v>
      </c>
      <c r="I27">
        <v>1.5704120578129642E-4</v>
      </c>
      <c r="J27">
        <v>-7.3443682259697923E-5</v>
      </c>
      <c r="K27">
        <v>6.9897023413449238E-5</v>
      </c>
      <c r="L27">
        <v>4.7475844356927857E-5</v>
      </c>
      <c r="M27">
        <v>1.5554595827318884E-4</v>
      </c>
      <c r="N27">
        <v>-8.7069862596617564E-5</v>
      </c>
      <c r="O27">
        <v>-1.4976798280937734E-4</v>
      </c>
      <c r="P27">
        <v>-2.456978806232481E-5</v>
      </c>
      <c r="Q27">
        <v>-8.1067532035111877E-5</v>
      </c>
      <c r="R27">
        <v>2.0513423056975393E-4</v>
      </c>
      <c r="S27">
        <v>-7.0664859774295825E-5</v>
      </c>
      <c r="T27">
        <v>1.2793728228740521E-4</v>
      </c>
      <c r="U27">
        <v>1.9672640506869341E-3</v>
      </c>
      <c r="V27">
        <v>1.914212224839543E-3</v>
      </c>
      <c r="W27">
        <v>1.9834305206510102E-3</v>
      </c>
      <c r="X27">
        <v>1.8988313543410002E-3</v>
      </c>
      <c r="Y27">
        <v>1.8822998102729926E-3</v>
      </c>
      <c r="Z27">
        <v>2.2759411718897317E-3</v>
      </c>
      <c r="AA27">
        <v>1.9415041072444598E-3</v>
      </c>
      <c r="AB27">
        <v>3.3777615558875508E-3</v>
      </c>
      <c r="AC27">
        <v>2.0056866724089606E-3</v>
      </c>
      <c r="AD27">
        <v>1.9660620714253606E-3</v>
      </c>
      <c r="AE27">
        <v>1.9763850615716113E-3</v>
      </c>
      <c r="AF27">
        <v>-7.9894829983670555E-5</v>
      </c>
      <c r="AG27">
        <v>-1.6345267800191646E-4</v>
      </c>
      <c r="AH27">
        <v>-6.1487889351994978E-5</v>
      </c>
      <c r="AI27">
        <v>6.3272590740867576E-4</v>
      </c>
      <c r="AJ27">
        <v>1.1801612215002371E-3</v>
      </c>
      <c r="AK27">
        <v>1.8330580500527734E-3</v>
      </c>
      <c r="AL27">
        <v>8.0674880428847472E-4</v>
      </c>
    </row>
    <row r="28" spans="1:38" x14ac:dyDescent="0.2">
      <c r="A28" t="s">
        <v>66</v>
      </c>
      <c r="B28">
        <v>7.7412486000976291E-2</v>
      </c>
      <c r="C28">
        <v>5.0489051232629058E-4</v>
      </c>
      <c r="D28">
        <v>1.947273912092126E-4</v>
      </c>
      <c r="E28">
        <v>-2.9240620657017986E-6</v>
      </c>
      <c r="F28">
        <v>4.6442823837182237E-6</v>
      </c>
      <c r="G28">
        <v>-7.5229560360256617E-6</v>
      </c>
      <c r="H28">
        <v>7.7323469759143238E-5</v>
      </c>
      <c r="I28">
        <v>2.1483790110523422E-4</v>
      </c>
      <c r="J28">
        <v>-2.9166135258066217E-4</v>
      </c>
      <c r="K28">
        <v>4.8351911504071791E-5</v>
      </c>
      <c r="L28">
        <v>2.561276610524923E-4</v>
      </c>
      <c r="M28">
        <v>2.1232101009317496E-4</v>
      </c>
      <c r="N28">
        <v>-3.3623293024527697E-5</v>
      </c>
      <c r="O28">
        <v>-9.1021842269219371E-5</v>
      </c>
      <c r="P28">
        <v>-1.1896915164271186E-4</v>
      </c>
      <c r="Q28">
        <v>-1.0003898035510373E-4</v>
      </c>
      <c r="R28">
        <v>3.2841857560980144E-4</v>
      </c>
      <c r="S28">
        <v>-1.0260146132363675E-4</v>
      </c>
      <c r="T28">
        <v>5.6903460382399487E-5</v>
      </c>
      <c r="U28">
        <v>1.945965462903267E-3</v>
      </c>
      <c r="V28">
        <v>1.8925716503594924E-3</v>
      </c>
      <c r="W28">
        <v>1.9719113567191232E-3</v>
      </c>
      <c r="X28">
        <v>1.8969466187504266E-3</v>
      </c>
      <c r="Y28">
        <v>1.8685294126953387E-3</v>
      </c>
      <c r="Z28">
        <v>2.1764611310519061E-3</v>
      </c>
      <c r="AA28">
        <v>1.9284005631256575E-3</v>
      </c>
      <c r="AB28">
        <v>2.0056866724089606E-3</v>
      </c>
      <c r="AC28">
        <v>4.1672777547806482E-3</v>
      </c>
      <c r="AD28">
        <v>1.9309088483251949E-3</v>
      </c>
      <c r="AE28">
        <v>1.9658137050091989E-3</v>
      </c>
      <c r="AF28">
        <v>-1.0926276719854684E-4</v>
      </c>
      <c r="AG28">
        <v>-2.5608749388461279E-4</v>
      </c>
      <c r="AH28">
        <v>-2.2270299430266133E-4</v>
      </c>
      <c r="AI28">
        <v>5.9088218376386603E-4</v>
      </c>
      <c r="AJ28">
        <v>1.1478843812286004E-3</v>
      </c>
      <c r="AK28">
        <v>1.4938340494618499E-3</v>
      </c>
      <c r="AL28">
        <v>2.6424958798662145E-3</v>
      </c>
    </row>
    <row r="29" spans="1:38" x14ac:dyDescent="0.2">
      <c r="A29" t="s">
        <v>67</v>
      </c>
      <c r="B29">
        <v>-8.8653062691056196E-3</v>
      </c>
      <c r="C29">
        <v>-1.5306899027982268E-4</v>
      </c>
      <c r="D29">
        <v>1.4295161164046624E-4</v>
      </c>
      <c r="E29">
        <v>-2.3713942299796741E-6</v>
      </c>
      <c r="F29">
        <v>-1.8014601718445775E-6</v>
      </c>
      <c r="G29">
        <v>-5.2673926168263146E-6</v>
      </c>
      <c r="H29">
        <v>-7.5539575584250107E-4</v>
      </c>
      <c r="I29">
        <v>7.1916467808258878E-4</v>
      </c>
      <c r="J29">
        <v>1.9290465499993161E-4</v>
      </c>
      <c r="K29">
        <v>-9.0213055772474948E-5</v>
      </c>
      <c r="L29">
        <v>-5.8992872018554161E-5</v>
      </c>
      <c r="M29">
        <v>1.9679202569073859E-4</v>
      </c>
      <c r="N29">
        <v>-8.059038906255443E-5</v>
      </c>
      <c r="O29">
        <v>-6.8133419927211893E-5</v>
      </c>
      <c r="P29">
        <v>-1.0895520225435168E-4</v>
      </c>
      <c r="Q29">
        <v>-1.2657168058126248E-4</v>
      </c>
      <c r="R29">
        <v>3.7555622516085218E-5</v>
      </c>
      <c r="S29">
        <v>-9.2692278012528918E-5</v>
      </c>
      <c r="T29">
        <v>1.2808155560708624E-4</v>
      </c>
      <c r="U29">
        <v>1.9234477107744684E-3</v>
      </c>
      <c r="V29">
        <v>1.85917984157854E-3</v>
      </c>
      <c r="W29">
        <v>1.9119262111984734E-3</v>
      </c>
      <c r="X29">
        <v>1.837663903404597E-3</v>
      </c>
      <c r="Y29">
        <v>1.8234328505293124E-3</v>
      </c>
      <c r="Z29">
        <v>2.078737832364248E-3</v>
      </c>
      <c r="AA29">
        <v>1.8781895595058624E-3</v>
      </c>
      <c r="AB29">
        <v>1.9660620714253606E-3</v>
      </c>
      <c r="AC29">
        <v>1.9309088483251949E-3</v>
      </c>
      <c r="AD29">
        <v>3.9179172342091546E-3</v>
      </c>
      <c r="AE29">
        <v>1.9301671011832172E-3</v>
      </c>
      <c r="AF29">
        <v>-9.2239920701333162E-5</v>
      </c>
      <c r="AG29">
        <v>-2.6929332818340589E-4</v>
      </c>
      <c r="AH29">
        <v>-8.4765998416461803E-5</v>
      </c>
      <c r="AI29">
        <v>5.6571544129718591E-4</v>
      </c>
      <c r="AJ29">
        <v>1.2005659026965649E-3</v>
      </c>
      <c r="AK29">
        <v>1.9804503616006565E-3</v>
      </c>
      <c r="AL29">
        <v>3.3377622953782281E-3</v>
      </c>
    </row>
    <row r="30" spans="1:38" x14ac:dyDescent="0.2">
      <c r="A30" t="s">
        <v>68</v>
      </c>
      <c r="B30">
        <v>0.17022736059974211</v>
      </c>
      <c r="C30">
        <v>2.7013316346349847E-4</v>
      </c>
      <c r="D30">
        <v>1.4514729913831133E-4</v>
      </c>
      <c r="E30">
        <v>-2.2500566971530968E-6</v>
      </c>
      <c r="F30">
        <v>1.4908629322365189E-6</v>
      </c>
      <c r="G30">
        <v>-3.6880853750612577E-6</v>
      </c>
      <c r="H30">
        <v>-1.3285985941563727E-4</v>
      </c>
      <c r="I30">
        <v>7.7924201770241189E-5</v>
      </c>
      <c r="J30">
        <v>-1.1321760410958981E-4</v>
      </c>
      <c r="K30">
        <v>2.3199438151705191E-4</v>
      </c>
      <c r="L30">
        <v>1.322241746260608E-4</v>
      </c>
      <c r="M30">
        <v>2.0517669905692558E-4</v>
      </c>
      <c r="N30">
        <v>6.8534125630749163E-5</v>
      </c>
      <c r="O30">
        <v>-1.9539853167953043E-4</v>
      </c>
      <c r="P30">
        <v>-6.2830049325194313E-5</v>
      </c>
      <c r="Q30">
        <v>-2.3614508635891454E-4</v>
      </c>
      <c r="R30">
        <v>8.7488475686678131E-5</v>
      </c>
      <c r="S30">
        <v>-5.247179389033553E-5</v>
      </c>
      <c r="T30">
        <v>1.6609261590553649E-4</v>
      </c>
      <c r="U30">
        <v>1.9343044580812621E-3</v>
      </c>
      <c r="V30">
        <v>1.8862661205087702E-3</v>
      </c>
      <c r="W30">
        <v>1.9247589718000176E-3</v>
      </c>
      <c r="X30">
        <v>1.8871044816417318E-3</v>
      </c>
      <c r="Y30">
        <v>1.8609015339982123E-3</v>
      </c>
      <c r="Z30">
        <v>2.0937782408176476E-3</v>
      </c>
      <c r="AA30">
        <v>1.9168530632422964E-3</v>
      </c>
      <c r="AB30">
        <v>1.9763850615716113E-3</v>
      </c>
      <c r="AC30">
        <v>1.9658137050091989E-3</v>
      </c>
      <c r="AD30">
        <v>1.9301671011832172E-3</v>
      </c>
      <c r="AE30">
        <v>3.9548406648222513E-3</v>
      </c>
      <c r="AF30">
        <v>-6.6547479833228948E-5</v>
      </c>
      <c r="AG30">
        <v>-1.0460881960072253E-4</v>
      </c>
      <c r="AH30">
        <v>-1.3420390396476139E-4</v>
      </c>
      <c r="AI30">
        <v>6.229254372474304E-4</v>
      </c>
      <c r="AJ30">
        <v>1.3163944594207729E-3</v>
      </c>
      <c r="AK30">
        <v>1.1660896323620138E-3</v>
      </c>
      <c r="AL30">
        <v>7.9155981882786039E-5</v>
      </c>
    </row>
    <row r="31" spans="1:38" x14ac:dyDescent="0.2">
      <c r="A31" t="s">
        <v>31</v>
      </c>
      <c r="B31">
        <v>-1.7915120031799722E-2</v>
      </c>
      <c r="C31">
        <v>-7.8786167834481895E-5</v>
      </c>
      <c r="D31">
        <v>-7.5630229204807212E-6</v>
      </c>
      <c r="E31">
        <v>1.2049351088422904E-7</v>
      </c>
      <c r="F31">
        <v>-5.7593407552349379E-7</v>
      </c>
      <c r="G31">
        <v>1.4605478834028535E-6</v>
      </c>
      <c r="H31">
        <v>2.6982426094351304E-5</v>
      </c>
      <c r="I31">
        <v>-2.4816777709425018E-5</v>
      </c>
      <c r="J31">
        <v>8.0922425881112205E-5</v>
      </c>
      <c r="K31">
        <v>-3.6498937034665343E-5</v>
      </c>
      <c r="L31">
        <v>-5.0776866518921608E-5</v>
      </c>
      <c r="M31">
        <v>-4.9021864002736561E-5</v>
      </c>
      <c r="N31">
        <v>4.5884060354248098E-6</v>
      </c>
      <c r="O31">
        <v>1.7860125300806235E-5</v>
      </c>
      <c r="P31">
        <v>2.6914162160568221E-5</v>
      </c>
      <c r="Q31">
        <v>5.9550340722779266E-5</v>
      </c>
      <c r="R31">
        <v>-3.1293185514021984E-5</v>
      </c>
      <c r="S31">
        <v>1.4427981051961061E-4</v>
      </c>
      <c r="T31">
        <v>-1.0694060689865232E-5</v>
      </c>
      <c r="U31">
        <v>-6.9094747112861973E-5</v>
      </c>
      <c r="V31">
        <v>-8.1414709880936332E-5</v>
      </c>
      <c r="W31">
        <v>-7.3788602869268659E-5</v>
      </c>
      <c r="X31">
        <v>-6.0230969855894811E-5</v>
      </c>
      <c r="Y31">
        <v>-5.8479465151557741E-5</v>
      </c>
      <c r="Z31">
        <v>-1.4408431904703429E-4</v>
      </c>
      <c r="AA31">
        <v>-7.106403708327659E-5</v>
      </c>
      <c r="AB31">
        <v>-7.9894829983670555E-5</v>
      </c>
      <c r="AC31">
        <v>-1.0926276719854684E-4</v>
      </c>
      <c r="AD31">
        <v>-9.2239920701333162E-5</v>
      </c>
      <c r="AE31">
        <v>-6.6547479833228948E-5</v>
      </c>
      <c r="AF31">
        <v>1.7232197405260091E-4</v>
      </c>
      <c r="AG31">
        <v>1.8954699612813708E-4</v>
      </c>
      <c r="AH31">
        <v>-8.2502075847761154E-5</v>
      </c>
      <c r="AI31">
        <v>-1.8472011656290796E-5</v>
      </c>
      <c r="AJ31">
        <v>-3.8992729583011906E-5</v>
      </c>
      <c r="AK31">
        <v>-2.5180507306787892E-4</v>
      </c>
      <c r="AL31">
        <v>-1.1160671010318882E-2</v>
      </c>
    </row>
    <row r="32" spans="1:38" x14ac:dyDescent="0.2">
      <c r="A32" t="s">
        <v>32</v>
      </c>
      <c r="B32">
        <v>1.6003367649727242E-2</v>
      </c>
      <c r="C32">
        <v>-5.7531693783346299E-4</v>
      </c>
      <c r="D32">
        <v>-2.6537146478811807E-5</v>
      </c>
      <c r="E32">
        <v>4.0155626946289098E-7</v>
      </c>
      <c r="F32">
        <v>-3.7426835891898847E-6</v>
      </c>
      <c r="G32">
        <v>6.2259686470281635E-6</v>
      </c>
      <c r="H32">
        <v>-1.6929237222423183E-5</v>
      </c>
      <c r="I32">
        <v>-3.2987204953582394E-4</v>
      </c>
      <c r="J32">
        <v>6.1298317654743975E-4</v>
      </c>
      <c r="K32">
        <v>-1.8475101306509082E-5</v>
      </c>
      <c r="L32">
        <v>-1.3007171642280004E-4</v>
      </c>
      <c r="M32">
        <v>-3.4537691236420165E-4</v>
      </c>
      <c r="N32">
        <v>-9.8140343838449932E-5</v>
      </c>
      <c r="O32">
        <v>-5.117247108313446E-5</v>
      </c>
      <c r="P32">
        <v>7.3090305524130646E-5</v>
      </c>
      <c r="Q32">
        <v>4.1233731501913028E-5</v>
      </c>
      <c r="R32">
        <v>-1.6126023072268346E-4</v>
      </c>
      <c r="S32">
        <v>2.399111211998841E-4</v>
      </c>
      <c r="T32">
        <v>4.1218898194992758E-6</v>
      </c>
      <c r="U32">
        <v>-2.8005410604675803E-5</v>
      </c>
      <c r="V32">
        <v>-1.5782093667150081E-4</v>
      </c>
      <c r="W32">
        <v>-1.4837569300972053E-4</v>
      </c>
      <c r="X32">
        <v>-1.4933057936337762E-5</v>
      </c>
      <c r="Y32">
        <v>2.2584090246911316E-5</v>
      </c>
      <c r="Z32">
        <v>-7.3929879812881932E-4</v>
      </c>
      <c r="AA32">
        <v>-2.5048121641263227E-4</v>
      </c>
      <c r="AB32">
        <v>-1.6345267800191646E-4</v>
      </c>
      <c r="AC32">
        <v>-2.5608749388461279E-4</v>
      </c>
      <c r="AD32">
        <v>-2.6929332818340589E-4</v>
      </c>
      <c r="AE32">
        <v>-1.0460881960072253E-4</v>
      </c>
      <c r="AF32">
        <v>1.8954699612813708E-4</v>
      </c>
      <c r="AG32">
        <v>3.3561998532505837E-3</v>
      </c>
      <c r="AH32">
        <v>6.4166493794025684E-4</v>
      </c>
      <c r="AI32">
        <v>4.0244340169010191E-5</v>
      </c>
      <c r="AJ32">
        <v>-2.4277971774296948E-5</v>
      </c>
      <c r="AK32">
        <v>-1.656023542843485E-3</v>
      </c>
      <c r="AL32">
        <v>-1.6642023255621856E-2</v>
      </c>
    </row>
    <row r="33" spans="1:38" x14ac:dyDescent="0.2">
      <c r="A33" t="s">
        <v>33</v>
      </c>
      <c r="B33">
        <v>5.1664386645578798E-2</v>
      </c>
      <c r="C33">
        <v>-2.9971967865664948E-4</v>
      </c>
      <c r="D33">
        <v>-5.5018858766451174E-5</v>
      </c>
      <c r="E33">
        <v>8.6914154417690686E-7</v>
      </c>
      <c r="F33">
        <v>1.0272851738479509E-6</v>
      </c>
      <c r="G33">
        <v>7.7950723154206524E-6</v>
      </c>
      <c r="H33">
        <v>1.4916552247292274E-4</v>
      </c>
      <c r="I33">
        <v>-4.4900559712706452E-4</v>
      </c>
      <c r="J33">
        <v>1.9641808546921798E-4</v>
      </c>
      <c r="K33">
        <v>6.1964233863796674E-5</v>
      </c>
      <c r="L33">
        <v>-9.7687323685880781E-5</v>
      </c>
      <c r="M33">
        <v>-3.1356053569442594E-4</v>
      </c>
      <c r="N33">
        <v>-1.8765639706068578E-4</v>
      </c>
      <c r="O33">
        <v>-2.2621205408163148E-5</v>
      </c>
      <c r="P33">
        <v>6.7007874260880166E-5</v>
      </c>
      <c r="Q33">
        <v>-4.5066907372448057E-5</v>
      </c>
      <c r="R33">
        <v>-1.4607868310089367E-4</v>
      </c>
      <c r="S33">
        <v>3.0318174981175047E-6</v>
      </c>
      <c r="T33">
        <v>-8.0479016927309435E-5</v>
      </c>
      <c r="U33">
        <v>2.0423697293137961E-4</v>
      </c>
      <c r="V33">
        <v>1.3283433572146665E-5</v>
      </c>
      <c r="W33">
        <v>-1.420981453663765E-4</v>
      </c>
      <c r="X33">
        <v>5.1566806203458715E-5</v>
      </c>
      <c r="Y33">
        <v>-7.8491701891311597E-5</v>
      </c>
      <c r="Z33">
        <v>-6.3263093883423683E-4</v>
      </c>
      <c r="AA33">
        <v>-1.189999328855035E-4</v>
      </c>
      <c r="AB33">
        <v>-6.1487889351994978E-5</v>
      </c>
      <c r="AC33">
        <v>-2.2270299430266133E-4</v>
      </c>
      <c r="AD33">
        <v>-8.4765998416461803E-5</v>
      </c>
      <c r="AE33">
        <v>-1.3420390396476139E-4</v>
      </c>
      <c r="AF33">
        <v>-8.2502075847761154E-5</v>
      </c>
      <c r="AG33">
        <v>6.4166493794025684E-4</v>
      </c>
      <c r="AH33">
        <v>3.5920861098671462E-3</v>
      </c>
      <c r="AI33">
        <v>5.3128754178473955E-5</v>
      </c>
      <c r="AJ33">
        <v>-4.7440904427792363E-6</v>
      </c>
      <c r="AK33">
        <v>-1.6256576694074903E-3</v>
      </c>
      <c r="AL33">
        <v>1.7974060955177965E-3</v>
      </c>
    </row>
    <row r="34" spans="1:38" x14ac:dyDescent="0.2">
      <c r="A34" t="s">
        <v>71</v>
      </c>
      <c r="B34">
        <v>-8.891126808330857E-2</v>
      </c>
      <c r="C34">
        <v>-5.6526803915789726E-5</v>
      </c>
      <c r="D34">
        <v>5.1065744377186938E-6</v>
      </c>
      <c r="E34">
        <v>-1.3338421360868262E-7</v>
      </c>
      <c r="F34">
        <v>1.5691615755796655E-6</v>
      </c>
      <c r="G34">
        <v>-6.7737044742993414E-7</v>
      </c>
      <c r="H34">
        <v>-7.8964015149653408E-5</v>
      </c>
      <c r="I34">
        <v>7.0945308717659502E-5</v>
      </c>
      <c r="J34">
        <v>-2.6688485360119179E-4</v>
      </c>
      <c r="K34">
        <v>-1.7988181928327746E-4</v>
      </c>
      <c r="L34">
        <v>-1.7376644155007559E-4</v>
      </c>
      <c r="M34">
        <v>-7.214523998473046E-5</v>
      </c>
      <c r="N34">
        <v>-1.5072067519576087E-4</v>
      </c>
      <c r="O34">
        <v>-1.1815262586696234E-4</v>
      </c>
      <c r="P34">
        <v>8.2514014695246311E-5</v>
      </c>
      <c r="Q34">
        <v>-1.9753055342052901E-4</v>
      </c>
      <c r="R34">
        <v>-8.2136315290892313E-5</v>
      </c>
      <c r="S34">
        <v>-1.3490536426123256E-5</v>
      </c>
      <c r="T34">
        <v>-1.2194659644553429E-4</v>
      </c>
      <c r="U34">
        <v>5.9224413869623344E-4</v>
      </c>
      <c r="V34">
        <v>4.8585264649222287E-4</v>
      </c>
      <c r="W34">
        <v>6.2447968276695912E-4</v>
      </c>
      <c r="X34">
        <v>4.8792132441952764E-4</v>
      </c>
      <c r="Y34">
        <v>3.9237678988010604E-4</v>
      </c>
      <c r="Z34">
        <v>5.477153252213434E-4</v>
      </c>
      <c r="AA34">
        <v>4.6227559308469084E-4</v>
      </c>
      <c r="AB34">
        <v>6.3272590740867576E-4</v>
      </c>
      <c r="AC34">
        <v>5.9088218376386603E-4</v>
      </c>
      <c r="AD34">
        <v>5.6571544129718591E-4</v>
      </c>
      <c r="AE34">
        <v>6.229254372474304E-4</v>
      </c>
      <c r="AF34">
        <v>-1.8472011656290796E-5</v>
      </c>
      <c r="AG34">
        <v>4.0244340169010191E-5</v>
      </c>
      <c r="AH34">
        <v>5.3128754178473955E-5</v>
      </c>
      <c r="AI34">
        <v>2.0075329663204601E-3</v>
      </c>
      <c r="AJ34">
        <v>4.7197478083269766E-4</v>
      </c>
      <c r="AK34">
        <v>6.5414291159662102E-4</v>
      </c>
      <c r="AL34">
        <v>6.3257041927508237E-4</v>
      </c>
    </row>
    <row r="35" spans="1:38" x14ac:dyDescent="0.2">
      <c r="A35" t="s">
        <v>72</v>
      </c>
      <c r="B35">
        <v>0.24045440315606548</v>
      </c>
      <c r="C35">
        <v>-5.8324750785530496E-4</v>
      </c>
      <c r="D35">
        <v>1.8028906568874452E-5</v>
      </c>
      <c r="E35">
        <v>-5.2044630711022151E-7</v>
      </c>
      <c r="F35">
        <v>1.5085316360937429E-6</v>
      </c>
      <c r="G35">
        <v>1.141005963449857E-6</v>
      </c>
      <c r="H35">
        <v>-3.1903731942988927E-4</v>
      </c>
      <c r="I35">
        <v>-2.4893662899219476E-4</v>
      </c>
      <c r="J35">
        <v>5.0394462782294889E-4</v>
      </c>
      <c r="K35">
        <v>1.8855087991720223E-4</v>
      </c>
      <c r="L35">
        <v>5.2640332745532636E-5</v>
      </c>
      <c r="M35">
        <v>1.1089309233419458E-4</v>
      </c>
      <c r="N35">
        <v>-6.1731432260872261E-5</v>
      </c>
      <c r="O35">
        <v>-2.0085296902600468E-4</v>
      </c>
      <c r="P35">
        <v>3.3927801326649284E-5</v>
      </c>
      <c r="Q35">
        <v>-1.6731189525494216E-4</v>
      </c>
      <c r="R35">
        <v>5.6853497491184363E-5</v>
      </c>
      <c r="S35">
        <v>-4.1667382574985586E-5</v>
      </c>
      <c r="T35">
        <v>5.6130485394370036E-5</v>
      </c>
      <c r="U35">
        <v>1.2144513629366539E-3</v>
      </c>
      <c r="V35">
        <v>1.0697430335632205E-3</v>
      </c>
      <c r="W35">
        <v>1.1006478529723776E-3</v>
      </c>
      <c r="X35">
        <v>1.0984911221363235E-3</v>
      </c>
      <c r="Y35">
        <v>1.0532951890322622E-3</v>
      </c>
      <c r="Z35">
        <v>8.0382141040424133E-4</v>
      </c>
      <c r="AA35">
        <v>1.4471396875052243E-3</v>
      </c>
      <c r="AB35">
        <v>1.1801612215002371E-3</v>
      </c>
      <c r="AC35">
        <v>1.1478843812286004E-3</v>
      </c>
      <c r="AD35">
        <v>1.2005659026965649E-3</v>
      </c>
      <c r="AE35">
        <v>1.3163944594207729E-3</v>
      </c>
      <c r="AF35">
        <v>-3.8992729583011906E-5</v>
      </c>
      <c r="AG35">
        <v>-2.4277971774296948E-5</v>
      </c>
      <c r="AH35">
        <v>-4.7440904427792363E-6</v>
      </c>
      <c r="AI35">
        <v>4.7197478083269766E-4</v>
      </c>
      <c r="AJ35">
        <v>6.1020127740238957E-3</v>
      </c>
      <c r="AK35">
        <v>1.2203155917522596E-4</v>
      </c>
      <c r="AL35">
        <v>1.9590016785896048E-3</v>
      </c>
    </row>
    <row r="36" spans="1:38" x14ac:dyDescent="0.2">
      <c r="A36" t="s">
        <v>73</v>
      </c>
      <c r="B36">
        <v>2.8876497907548745E-2</v>
      </c>
      <c r="C36">
        <v>1.2766839756716483E-3</v>
      </c>
      <c r="D36">
        <v>2.865514004989668E-4</v>
      </c>
      <c r="E36">
        <v>-4.6057223437623068E-6</v>
      </c>
      <c r="F36">
        <v>1.7675754068930598E-5</v>
      </c>
      <c r="G36">
        <v>-3.0767736225815784E-5</v>
      </c>
      <c r="H36">
        <v>3.8975016598085744E-4</v>
      </c>
      <c r="I36">
        <v>1.7561149839213641E-3</v>
      </c>
      <c r="J36">
        <v>-1.7520966706411939E-3</v>
      </c>
      <c r="K36">
        <v>4.357586326988426E-4</v>
      </c>
      <c r="L36">
        <v>1.052518297543454E-3</v>
      </c>
      <c r="M36">
        <v>3.0835527682392958E-3</v>
      </c>
      <c r="N36">
        <v>7.2892409149535355E-4</v>
      </c>
      <c r="O36">
        <v>-3.8619813065459731E-5</v>
      </c>
      <c r="P36">
        <v>-1.5405377688813122E-4</v>
      </c>
      <c r="Q36">
        <v>4.0364711340735299E-4</v>
      </c>
      <c r="R36">
        <v>1.2600189609601933E-3</v>
      </c>
      <c r="S36">
        <v>-3.6338975652638883E-4</v>
      </c>
      <c r="T36">
        <v>1.4620496653554305E-4</v>
      </c>
      <c r="U36">
        <v>1.8557043096713291E-3</v>
      </c>
      <c r="V36">
        <v>1.3332469138493909E-3</v>
      </c>
      <c r="W36">
        <v>1.8522942790449555E-3</v>
      </c>
      <c r="X36">
        <v>1.006817640269999E-3</v>
      </c>
      <c r="Y36">
        <v>1.2138140024922249E-3</v>
      </c>
      <c r="Z36">
        <v>5.3073350236216548E-3</v>
      </c>
      <c r="AA36">
        <v>1.1588471591381204E-3</v>
      </c>
      <c r="AB36">
        <v>1.8330580500527734E-3</v>
      </c>
      <c r="AC36">
        <v>1.4938340494618499E-3</v>
      </c>
      <c r="AD36">
        <v>1.9804503616006565E-3</v>
      </c>
      <c r="AE36">
        <v>1.1660896323620138E-3</v>
      </c>
      <c r="AF36">
        <v>-2.5180507306787892E-4</v>
      </c>
      <c r="AG36">
        <v>-1.656023542843485E-3</v>
      </c>
      <c r="AH36">
        <v>-1.6256576694074903E-3</v>
      </c>
      <c r="AI36">
        <v>6.5414291159662102E-4</v>
      </c>
      <c r="AJ36">
        <v>1.2203155917522596E-4</v>
      </c>
      <c r="AK36">
        <v>1.9679599472965541E-2</v>
      </c>
      <c r="AL36">
        <v>1.7623683105028806E-2</v>
      </c>
    </row>
    <row r="37" spans="1:38" x14ac:dyDescent="0.2">
      <c r="A37" t="s">
        <v>34</v>
      </c>
      <c r="B37">
        <v>-5.2549662451751784</v>
      </c>
      <c r="C37">
        <v>5.1150678179465031E-3</v>
      </c>
      <c r="D37">
        <v>-4.1887917458965987E-3</v>
      </c>
      <c r="E37">
        <v>6.0416784281838894E-5</v>
      </c>
      <c r="F37">
        <v>-5.829566248026735E-5</v>
      </c>
      <c r="G37">
        <v>-1.9155574543230545E-4</v>
      </c>
      <c r="H37">
        <v>-4.9979091070393358E-3</v>
      </c>
      <c r="I37">
        <v>2.694509798140142E-3</v>
      </c>
      <c r="J37">
        <v>-1.2132987121521709E-2</v>
      </c>
      <c r="K37">
        <v>1.1810213981706761E-3</v>
      </c>
      <c r="L37">
        <v>2.8666716242769785E-3</v>
      </c>
      <c r="M37">
        <v>4.099274000576603E-3</v>
      </c>
      <c r="N37">
        <v>9.0945056345124141E-4</v>
      </c>
      <c r="O37">
        <v>4.3470608537123784E-5</v>
      </c>
      <c r="P37">
        <v>-9.4907875101970997E-4</v>
      </c>
      <c r="Q37">
        <v>-3.2877227298420794E-3</v>
      </c>
      <c r="R37">
        <v>2.0326671694805591E-3</v>
      </c>
      <c r="S37">
        <v>-9.9010743776836441E-3</v>
      </c>
      <c r="T37">
        <v>-9.7122339956280321E-4</v>
      </c>
      <c r="U37">
        <v>1.5986915577590015E-3</v>
      </c>
      <c r="V37">
        <v>2.0554803050872638E-3</v>
      </c>
      <c r="W37">
        <v>8.3708268422971136E-4</v>
      </c>
      <c r="X37">
        <v>-3.5028013156767051E-4</v>
      </c>
      <c r="Y37">
        <v>-8.34206679467305E-4</v>
      </c>
      <c r="Z37">
        <v>6.2611633870054305E-3</v>
      </c>
      <c r="AA37">
        <v>1.1646950096325139E-3</v>
      </c>
      <c r="AB37">
        <v>8.0674880428847472E-4</v>
      </c>
      <c r="AC37">
        <v>2.6424958798662145E-3</v>
      </c>
      <c r="AD37">
        <v>3.3377622953782281E-3</v>
      </c>
      <c r="AE37">
        <v>7.9155981882786039E-5</v>
      </c>
      <c r="AF37">
        <v>-1.1160671010318882E-2</v>
      </c>
      <c r="AG37">
        <v>-1.6642023255621856E-2</v>
      </c>
      <c r="AH37">
        <v>1.7974060955177965E-3</v>
      </c>
      <c r="AI37">
        <v>6.3257041927508237E-4</v>
      </c>
      <c r="AJ37">
        <v>1.9590016785896048E-3</v>
      </c>
      <c r="AK37">
        <v>1.7623683105028806E-2</v>
      </c>
      <c r="AL37">
        <v>0.84587038546144555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37"/>
  <sheetViews>
    <sheetView tabSelected="1" workbookViewId="0">
      <selection activeCell="A32" sqref="A32"/>
    </sheetView>
  </sheetViews>
  <sheetFormatPr baseColWidth="10" defaultColWidth="8.83203125" defaultRowHeight="15" x14ac:dyDescent="0.2"/>
  <sheetData>
    <row r="1" spans="1:38" x14ac:dyDescent="0.2">
      <c r="A1" t="s">
        <v>11</v>
      </c>
      <c r="B1" t="s">
        <v>12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55</v>
      </c>
      <c r="Q1" t="s">
        <v>74</v>
      </c>
      <c r="R1" t="s">
        <v>75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77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34</v>
      </c>
    </row>
    <row r="2" spans="1:38" x14ac:dyDescent="0.2">
      <c r="A2" t="s">
        <v>42</v>
      </c>
      <c r="B2">
        <v>-0.53200332937532369</v>
      </c>
      <c r="C2">
        <v>0.20543781327455188</v>
      </c>
      <c r="D2">
        <v>-9.1559453885857889E-5</v>
      </c>
      <c r="E2">
        <v>1.603996211382189E-6</v>
      </c>
      <c r="F2">
        <v>1.6131927792390168E-5</v>
      </c>
      <c r="G2">
        <v>7.7183298111936107E-6</v>
      </c>
      <c r="H2">
        <v>-6.2329879065248293E-5</v>
      </c>
      <c r="I2">
        <v>1.7474416667249268E-3</v>
      </c>
      <c r="J2">
        <v>-0.20477624704012615</v>
      </c>
      <c r="K2">
        <v>1.5392599024654651E-4</v>
      </c>
      <c r="L2">
        <v>1.2514904961599708E-3</v>
      </c>
      <c r="M2">
        <v>2.0578423478267212E-3</v>
      </c>
      <c r="N2">
        <v>2.4998240489301406E-3</v>
      </c>
      <c r="O2">
        <v>3.5933179253314182E-4</v>
      </c>
      <c r="P2">
        <v>1.0113937214667327E-6</v>
      </c>
      <c r="Q2">
        <v>4.9670434483377367E-4</v>
      </c>
      <c r="R2">
        <v>2.9322771365155502E-4</v>
      </c>
      <c r="S2">
        <v>-1.1888182959127831E-4</v>
      </c>
      <c r="T2">
        <v>1.0199109295059995E-3</v>
      </c>
      <c r="U2">
        <v>-7.6867217283246945E-4</v>
      </c>
      <c r="V2">
        <v>9.9843899083445348E-5</v>
      </c>
      <c r="W2">
        <v>3.3524910201420619E-4</v>
      </c>
      <c r="X2">
        <v>2.542012668357897E-4</v>
      </c>
      <c r="Y2">
        <v>1.1485613489293509E-3</v>
      </c>
      <c r="Z2">
        <v>7.4899313178353015E-4</v>
      </c>
      <c r="AA2">
        <v>-4.5955709517460277E-5</v>
      </c>
      <c r="AB2">
        <v>2.4187105804528088E-4</v>
      </c>
      <c r="AC2">
        <v>5.0489051232816039E-4</v>
      </c>
      <c r="AD2">
        <v>-1.5306899027832898E-4</v>
      </c>
      <c r="AE2">
        <v>2.7013316346486543E-4</v>
      </c>
      <c r="AF2">
        <v>-7.8786167833850537E-5</v>
      </c>
      <c r="AG2">
        <v>-5.7531693783287492E-4</v>
      </c>
      <c r="AH2">
        <v>-2.9971967865791236E-4</v>
      </c>
      <c r="AI2">
        <v>-5.652680391550393E-5</v>
      </c>
      <c r="AJ2">
        <v>-5.8324750785453952E-4</v>
      </c>
      <c r="AK2">
        <v>1.2766839756755237E-3</v>
      </c>
      <c r="AL2">
        <v>5.1150678178404213E-3</v>
      </c>
    </row>
    <row r="3" spans="1:38" x14ac:dyDescent="0.2">
      <c r="A3" t="s">
        <v>43</v>
      </c>
      <c r="B3">
        <v>0.32365262981949999</v>
      </c>
      <c r="C3">
        <v>-9.1559453885857889E-5</v>
      </c>
      <c r="D3">
        <v>2.9241702138337294E-4</v>
      </c>
      <c r="E3">
        <v>-4.3926172333467645E-6</v>
      </c>
      <c r="F3">
        <v>9.7499504372740299E-7</v>
      </c>
      <c r="G3">
        <v>1.986137881633673E-6</v>
      </c>
      <c r="H3">
        <v>2.6872953251219547E-5</v>
      </c>
      <c r="I3">
        <v>6.9160856375666095E-5</v>
      </c>
      <c r="J3">
        <v>4.2444259764818889E-4</v>
      </c>
      <c r="K3">
        <v>-1.8521320215619125E-5</v>
      </c>
      <c r="L3">
        <v>-4.094884112821977E-5</v>
      </c>
      <c r="M3">
        <v>-5.7913975177369559E-5</v>
      </c>
      <c r="N3">
        <v>-1.1039133181760729E-4</v>
      </c>
      <c r="O3">
        <v>-3.815443439177731E-5</v>
      </c>
      <c r="P3">
        <v>-7.2795937571410493E-5</v>
      </c>
      <c r="Q3">
        <v>-3.7356494079785656E-5</v>
      </c>
      <c r="R3">
        <v>-9.6424489692912424E-6</v>
      </c>
      <c r="S3">
        <v>-9.5251835126580059E-6</v>
      </c>
      <c r="T3">
        <v>2.9250763117061058E-5</v>
      </c>
      <c r="U3">
        <v>1.0002735466648811E-4</v>
      </c>
      <c r="V3">
        <v>9.7696914191536038E-5</v>
      </c>
      <c r="W3">
        <v>1.5148120499576713E-4</v>
      </c>
      <c r="X3">
        <v>1.5591486103541338E-4</v>
      </c>
      <c r="Y3">
        <v>1.6376817462691743E-4</v>
      </c>
      <c r="Z3">
        <v>2.3104011681060292E-4</v>
      </c>
      <c r="AA3">
        <v>1.5391516887878798E-4</v>
      </c>
      <c r="AB3">
        <v>1.6588269486408154E-4</v>
      </c>
      <c r="AC3">
        <v>1.9472739121073547E-4</v>
      </c>
      <c r="AD3">
        <v>1.4295161164169952E-4</v>
      </c>
      <c r="AE3">
        <v>1.4514729913945191E-4</v>
      </c>
      <c r="AF3">
        <v>-7.56302292125289E-6</v>
      </c>
      <c r="AG3">
        <v>-2.6537146479572483E-5</v>
      </c>
      <c r="AH3">
        <v>-5.5018858766613804E-5</v>
      </c>
      <c r="AI3">
        <v>5.1065744378084657E-6</v>
      </c>
      <c r="AJ3">
        <v>1.8028906569158079E-5</v>
      </c>
      <c r="AK3">
        <v>2.865514005017597E-4</v>
      </c>
      <c r="AL3">
        <v>-4.1887917459276849E-3</v>
      </c>
    </row>
    <row r="4" spans="1:38" x14ac:dyDescent="0.2">
      <c r="A4" t="s">
        <v>44</v>
      </c>
      <c r="B4">
        <v>-5.7059630422991456E-3</v>
      </c>
      <c r="C4">
        <v>1.603996211382189E-6</v>
      </c>
      <c r="D4">
        <v>-4.3926172333467645E-6</v>
      </c>
      <c r="E4">
        <v>6.7170988231292586E-8</v>
      </c>
      <c r="F4">
        <v>-7.5019984687974812E-9</v>
      </c>
      <c r="G4">
        <v>-2.9713337336638846E-8</v>
      </c>
      <c r="H4">
        <v>-5.1024241868136276E-7</v>
      </c>
      <c r="I4">
        <v>-6.72403152422202E-7</v>
      </c>
      <c r="J4">
        <v>-6.2938531240626209E-6</v>
      </c>
      <c r="K4">
        <v>3.0755203510189086E-7</v>
      </c>
      <c r="L4">
        <v>6.2821410387102875E-7</v>
      </c>
      <c r="M4">
        <v>6.304796707600472E-7</v>
      </c>
      <c r="N4">
        <v>1.407533756233143E-6</v>
      </c>
      <c r="O4">
        <v>3.5663546352233272E-7</v>
      </c>
      <c r="P4">
        <v>1.3797988040752383E-6</v>
      </c>
      <c r="Q4">
        <v>4.2759490528907412E-7</v>
      </c>
      <c r="R4">
        <v>1.680336718549152E-7</v>
      </c>
      <c r="S4">
        <v>1.6086958889698568E-7</v>
      </c>
      <c r="T4">
        <v>-4.9421886907398326E-7</v>
      </c>
      <c r="U4">
        <v>-1.6460043078911126E-6</v>
      </c>
      <c r="V4">
        <v>-1.5113752313650239E-6</v>
      </c>
      <c r="W4">
        <v>-2.2779225865855253E-6</v>
      </c>
      <c r="X4">
        <v>-2.4279442505935095E-6</v>
      </c>
      <c r="Y4">
        <v>-2.4522016072461152E-6</v>
      </c>
      <c r="Z4">
        <v>-3.6698382590131281E-6</v>
      </c>
      <c r="AA4">
        <v>-2.329387002131441E-6</v>
      </c>
      <c r="AB4">
        <v>-2.5452449907154385E-6</v>
      </c>
      <c r="AC4">
        <v>-2.9240620657251699E-6</v>
      </c>
      <c r="AD4">
        <v>-2.3713942299986163E-6</v>
      </c>
      <c r="AE4">
        <v>-2.2500566971706337E-6</v>
      </c>
      <c r="AF4">
        <v>1.2049351089588824E-7</v>
      </c>
      <c r="AG4">
        <v>4.0155626947451227E-7</v>
      </c>
      <c r="AH4">
        <v>8.6914154417948184E-7</v>
      </c>
      <c r="AI4">
        <v>-1.3338421361012596E-7</v>
      </c>
      <c r="AJ4">
        <v>-5.2044630711463286E-7</v>
      </c>
      <c r="AK4">
        <v>-4.6057223438055665E-6</v>
      </c>
      <c r="AL4">
        <v>6.0416784282312744E-5</v>
      </c>
    </row>
    <row r="5" spans="1:38" x14ac:dyDescent="0.2">
      <c r="A5" t="s">
        <v>45</v>
      </c>
      <c r="B5">
        <v>-1.3617803061419416E-2</v>
      </c>
      <c r="C5">
        <v>1.6131927792390168E-5</v>
      </c>
      <c r="D5">
        <v>9.7499504372740299E-7</v>
      </c>
      <c r="E5">
        <v>-7.5019984687974812E-9</v>
      </c>
      <c r="F5">
        <v>1.6308265485142816E-6</v>
      </c>
      <c r="G5">
        <v>1.4519889198156783E-7</v>
      </c>
      <c r="H5">
        <v>1.9685421041177796E-5</v>
      </c>
      <c r="I5">
        <v>-1.8309151149730716E-5</v>
      </c>
      <c r="J5">
        <v>-1.9337586012545653E-5</v>
      </c>
      <c r="K5">
        <v>-3.2209628932112442E-7</v>
      </c>
      <c r="L5">
        <v>-1.6172073421182451E-6</v>
      </c>
      <c r="M5">
        <v>-3.3358111607067543E-6</v>
      </c>
      <c r="N5">
        <v>-1.1716278585893853E-5</v>
      </c>
      <c r="O5">
        <v>-3.4036825970215676E-6</v>
      </c>
      <c r="P5">
        <v>-5.1477405488378426E-7</v>
      </c>
      <c r="Q5">
        <v>6.2981877157942972E-7</v>
      </c>
      <c r="R5">
        <v>1.9492088234102386E-6</v>
      </c>
      <c r="S5">
        <v>-7.6099522689724955E-7</v>
      </c>
      <c r="T5">
        <v>8.6450308998339418E-6</v>
      </c>
      <c r="U5">
        <v>2.3840960654158269E-6</v>
      </c>
      <c r="V5">
        <v>4.8115884531056557E-6</v>
      </c>
      <c r="W5">
        <v>3.6774430108213565E-6</v>
      </c>
      <c r="X5">
        <v>2.4271270391688767E-6</v>
      </c>
      <c r="Y5">
        <v>3.4114284080595614E-6</v>
      </c>
      <c r="Z5">
        <v>1.0082272882256399E-5</v>
      </c>
      <c r="AA5">
        <v>2.7490599463574994E-7</v>
      </c>
      <c r="AB5">
        <v>3.469416830102173E-6</v>
      </c>
      <c r="AC5">
        <v>4.6442823837224826E-6</v>
      </c>
      <c r="AD5">
        <v>-1.8014601718396664E-6</v>
      </c>
      <c r="AE5">
        <v>1.4908629322377657E-6</v>
      </c>
      <c r="AF5">
        <v>-5.7593407553714627E-7</v>
      </c>
      <c r="AG5">
        <v>-3.7426835891981924E-6</v>
      </c>
      <c r="AH5">
        <v>1.0272851738511629E-6</v>
      </c>
      <c r="AI5">
        <v>1.5691615755791336E-6</v>
      </c>
      <c r="AJ5">
        <v>1.5085316360954403E-6</v>
      </c>
      <c r="AK5">
        <v>1.7675754068946156E-5</v>
      </c>
      <c r="AL5">
        <v>-5.8295662480047636E-5</v>
      </c>
    </row>
    <row r="6" spans="1:38" x14ac:dyDescent="0.2">
      <c r="A6" t="s">
        <v>46</v>
      </c>
      <c r="B6">
        <v>7.005085008673897E-3</v>
      </c>
      <c r="C6">
        <v>7.7183298111936107E-6</v>
      </c>
      <c r="D6">
        <v>1.986137881633673E-6</v>
      </c>
      <c r="E6">
        <v>-2.9713337336638846E-8</v>
      </c>
      <c r="F6">
        <v>1.4519889198156783E-7</v>
      </c>
      <c r="G6">
        <v>1.6146577651911893E-6</v>
      </c>
      <c r="H6">
        <v>1.1506165721486187E-5</v>
      </c>
      <c r="I6">
        <v>-2.082490239091591E-5</v>
      </c>
      <c r="J6">
        <v>-5.6175138289102375E-6</v>
      </c>
      <c r="K6">
        <v>-3.1518507109137321E-6</v>
      </c>
      <c r="L6">
        <v>-9.2327084277554338E-6</v>
      </c>
      <c r="M6">
        <v>-1.6812470195910457E-5</v>
      </c>
      <c r="N6">
        <v>-1.3704425154398655E-5</v>
      </c>
      <c r="O6">
        <v>-2.329262762653658E-6</v>
      </c>
      <c r="P6">
        <v>-1.2336917663742062E-7</v>
      </c>
      <c r="Q6">
        <v>1.0685483222414431E-6</v>
      </c>
      <c r="R6">
        <v>-2.4121673474032823E-6</v>
      </c>
      <c r="S6">
        <v>1.2243568445699281E-6</v>
      </c>
      <c r="T6">
        <v>4.2043462389814579E-6</v>
      </c>
      <c r="U6">
        <v>-4.2902152116876318E-6</v>
      </c>
      <c r="V6">
        <v>-4.7004202082222364E-6</v>
      </c>
      <c r="W6">
        <v>-3.0597444992348512E-6</v>
      </c>
      <c r="X6">
        <v>-2.4433196165733625E-6</v>
      </c>
      <c r="Y6">
        <v>-2.38893241984942E-6</v>
      </c>
      <c r="Z6">
        <v>-1.3634444692037891E-5</v>
      </c>
      <c r="AA6">
        <v>-3.7931236235367004E-6</v>
      </c>
      <c r="AB6">
        <v>-3.6845379686415348E-6</v>
      </c>
      <c r="AC6">
        <v>-7.5229560360237169E-6</v>
      </c>
      <c r="AD6">
        <v>-5.2673926168255624E-6</v>
      </c>
      <c r="AE6">
        <v>-3.6880853750586828E-6</v>
      </c>
      <c r="AF6">
        <v>1.4605478834024842E-6</v>
      </c>
      <c r="AG6">
        <v>6.2259686470278653E-6</v>
      </c>
      <c r="AH6">
        <v>7.7950723154255991E-6</v>
      </c>
      <c r="AI6">
        <v>-6.773704474306016E-7</v>
      </c>
      <c r="AJ6">
        <v>1.1410059634496249E-6</v>
      </c>
      <c r="AK6">
        <v>-3.0767736225818495E-5</v>
      </c>
      <c r="AL6">
        <v>-1.9155574543252437E-4</v>
      </c>
    </row>
    <row r="7" spans="1:38" x14ac:dyDescent="0.2">
      <c r="A7" t="s">
        <v>47</v>
      </c>
      <c r="B7">
        <v>-0.72395165710909692</v>
      </c>
      <c r="C7">
        <v>-6.2329879065248293E-5</v>
      </c>
      <c r="D7">
        <v>2.6872953251219547E-5</v>
      </c>
      <c r="E7">
        <v>-5.1024241868136276E-7</v>
      </c>
      <c r="F7">
        <v>1.9685421041177796E-5</v>
      </c>
      <c r="G7">
        <v>1.1506165721486187E-5</v>
      </c>
      <c r="H7">
        <v>6.8494050061718706E-3</v>
      </c>
      <c r="I7">
        <v>-6.1399448261742796E-3</v>
      </c>
      <c r="J7">
        <v>-3.669673328286274E-4</v>
      </c>
      <c r="K7">
        <v>-1.5306530931814822E-5</v>
      </c>
      <c r="L7">
        <v>9.704464094665201E-5</v>
      </c>
      <c r="M7">
        <v>9.5613153694506023E-5</v>
      </c>
      <c r="N7">
        <v>-2.4341367877990234E-4</v>
      </c>
      <c r="O7">
        <v>1.076567738074946E-4</v>
      </c>
      <c r="P7">
        <v>-1.422553832980845E-4</v>
      </c>
      <c r="Q7">
        <v>1.3685166363699882E-4</v>
      </c>
      <c r="R7">
        <v>5.137867258616617E-4</v>
      </c>
      <c r="S7">
        <v>4.0060671806974538E-5</v>
      </c>
      <c r="T7">
        <v>1.0029412965184243E-4</v>
      </c>
      <c r="U7">
        <v>-1.0528942491672935E-4</v>
      </c>
      <c r="V7">
        <v>6.1315621847286546E-5</v>
      </c>
      <c r="W7">
        <v>5.3322173083817802E-5</v>
      </c>
      <c r="X7">
        <v>1.0231736943888079E-6</v>
      </c>
      <c r="Y7">
        <v>-1.0488322641709349E-4</v>
      </c>
      <c r="Z7">
        <v>5.1918324552543635E-4</v>
      </c>
      <c r="AA7">
        <v>-3.721287412152701E-4</v>
      </c>
      <c r="AB7">
        <v>-1.7790452162926219E-6</v>
      </c>
      <c r="AC7">
        <v>7.732346975928806E-5</v>
      </c>
      <c r="AD7">
        <v>-7.5539575584244122E-4</v>
      </c>
      <c r="AE7">
        <v>-1.3285985941549426E-4</v>
      </c>
      <c r="AF7">
        <v>2.6982426093706637E-5</v>
      </c>
      <c r="AG7">
        <v>-1.6929237222918203E-5</v>
      </c>
      <c r="AH7">
        <v>1.49165522473258E-4</v>
      </c>
      <c r="AI7">
        <v>-7.896401514970858E-5</v>
      </c>
      <c r="AJ7">
        <v>-3.1903731942996576E-4</v>
      </c>
      <c r="AK7">
        <v>3.8975016598094461E-4</v>
      </c>
      <c r="AL7">
        <v>-4.9979091070046656E-3</v>
      </c>
    </row>
    <row r="8" spans="1:38" x14ac:dyDescent="0.2">
      <c r="A8" t="s">
        <v>48</v>
      </c>
      <c r="B8">
        <v>0.11626848781660369</v>
      </c>
      <c r="C8">
        <v>1.7474416667249268E-3</v>
      </c>
      <c r="D8">
        <v>6.9160856375666095E-5</v>
      </c>
      <c r="E8">
        <v>-6.72403152422202E-7</v>
      </c>
      <c r="F8">
        <v>-1.8309151149730716E-5</v>
      </c>
      <c r="G8">
        <v>-2.082490239091591E-5</v>
      </c>
      <c r="H8">
        <v>-6.1399448261742796E-3</v>
      </c>
      <c r="I8">
        <v>7.0865603274469901E-3</v>
      </c>
      <c r="J8">
        <v>-1.3939435168956976E-3</v>
      </c>
      <c r="K8">
        <v>1.5775543185081334E-4</v>
      </c>
      <c r="L8">
        <v>5.3083147761895291E-4</v>
      </c>
      <c r="M8">
        <v>9.4749738752378417E-4</v>
      </c>
      <c r="N8">
        <v>1.1450639612123194E-3</v>
      </c>
      <c r="O8">
        <v>1.1569640792940953E-4</v>
      </c>
      <c r="P8">
        <v>2.0508342396619042E-4</v>
      </c>
      <c r="Q8">
        <v>1.265646273506865E-4</v>
      </c>
      <c r="R8">
        <v>-3.2397927403205362E-4</v>
      </c>
      <c r="S8">
        <v>-5.3409189011997924E-5</v>
      </c>
      <c r="T8">
        <v>-2.8388705261737994E-6</v>
      </c>
      <c r="U8">
        <v>9.625053137307306E-5</v>
      </c>
      <c r="V8">
        <v>2.7722529029481345E-5</v>
      </c>
      <c r="W8">
        <v>9.3460319157949705E-5</v>
      </c>
      <c r="X8">
        <v>2.5625850678215843E-5</v>
      </c>
      <c r="Y8">
        <v>1.2023779858716811E-4</v>
      </c>
      <c r="Z8">
        <v>2.0126442066449894E-4</v>
      </c>
      <c r="AA8">
        <v>4.3812760120408225E-4</v>
      </c>
      <c r="AB8">
        <v>1.5704120578152552E-4</v>
      </c>
      <c r="AC8">
        <v>2.1483790110557379E-4</v>
      </c>
      <c r="AD8">
        <v>7.1916467808292889E-4</v>
      </c>
      <c r="AE8">
        <v>7.7924201770455861E-5</v>
      </c>
      <c r="AF8">
        <v>-2.4816777708662356E-5</v>
      </c>
      <c r="AG8">
        <v>-3.2987204953516995E-4</v>
      </c>
      <c r="AH8">
        <v>-4.4900559712765325E-4</v>
      </c>
      <c r="AI8">
        <v>7.0945308717769223E-5</v>
      </c>
      <c r="AJ8">
        <v>-2.4893662899198551E-4</v>
      </c>
      <c r="AK8">
        <v>1.7561149839221031E-3</v>
      </c>
      <c r="AL8">
        <v>2.6945097980674293E-3</v>
      </c>
    </row>
    <row r="9" spans="1:38" x14ac:dyDescent="0.2">
      <c r="A9" t="s">
        <v>49</v>
      </c>
      <c r="B9">
        <v>-0.33554018831731613</v>
      </c>
      <c r="C9">
        <v>-0.20477624704012615</v>
      </c>
      <c r="D9">
        <v>4.2444259764818889E-4</v>
      </c>
      <c r="E9">
        <v>-6.2938531240626209E-6</v>
      </c>
      <c r="F9">
        <v>-1.9337586012545653E-5</v>
      </c>
      <c r="G9">
        <v>-5.6175138289102375E-6</v>
      </c>
      <c r="H9">
        <v>-3.669673328286274E-4</v>
      </c>
      <c r="I9">
        <v>-1.3939435168956976E-3</v>
      </c>
      <c r="J9">
        <v>0.22874990768027903</v>
      </c>
      <c r="K9">
        <v>1.4642178210157441E-4</v>
      </c>
      <c r="L9">
        <v>-5.4472586480478727E-4</v>
      </c>
      <c r="M9">
        <v>-1.4271512839656103E-3</v>
      </c>
      <c r="N9">
        <v>-1.8537725669807814E-3</v>
      </c>
      <c r="O9">
        <v>-3.7441032905224047E-4</v>
      </c>
      <c r="P9">
        <v>-9.5999728761143486E-5</v>
      </c>
      <c r="Q9">
        <v>-3.8093747183944705E-4</v>
      </c>
      <c r="R9">
        <v>-1.095571767722503E-4</v>
      </c>
      <c r="S9">
        <v>1.2710126904816034E-4</v>
      </c>
      <c r="T9">
        <v>-5.5007105061917732E-4</v>
      </c>
      <c r="U9">
        <v>6.8504499296967892E-4</v>
      </c>
      <c r="V9">
        <v>-6.766603457855825E-5</v>
      </c>
      <c r="W9">
        <v>3.800076857157507E-4</v>
      </c>
      <c r="X9">
        <v>-7.4020544988011533E-5</v>
      </c>
      <c r="Y9">
        <v>-9.9234758414382942E-4</v>
      </c>
      <c r="Z9">
        <v>-7.1630488343343748E-4</v>
      </c>
      <c r="AA9">
        <v>1.4257303752827043E-4</v>
      </c>
      <c r="AB9">
        <v>-7.3443682259383505E-5</v>
      </c>
      <c r="AC9">
        <v>-2.9166135258044165E-4</v>
      </c>
      <c r="AD9">
        <v>1.929046550001304E-4</v>
      </c>
      <c r="AE9">
        <v>-1.1321760410935953E-4</v>
      </c>
      <c r="AF9">
        <v>8.0922425879660377E-5</v>
      </c>
      <c r="AG9">
        <v>6.1298317654607604E-4</v>
      </c>
      <c r="AH9">
        <v>1.9641808547011733E-4</v>
      </c>
      <c r="AI9">
        <v>-2.6688485360133187E-4</v>
      </c>
      <c r="AJ9">
        <v>5.0394462782265409E-4</v>
      </c>
      <c r="AK9">
        <v>-1.7520966706413526E-3</v>
      </c>
      <c r="AL9">
        <v>-1.2132987121470247E-2</v>
      </c>
    </row>
    <row r="10" spans="1:38" x14ac:dyDescent="0.2">
      <c r="A10" t="s">
        <v>50</v>
      </c>
      <c r="B10">
        <v>-1.5456526885211076E-2</v>
      </c>
      <c r="C10">
        <v>1.5392599024654651E-4</v>
      </c>
      <c r="D10">
        <v>-1.8521320215619125E-5</v>
      </c>
      <c r="E10">
        <v>3.0755203510189086E-7</v>
      </c>
      <c r="F10">
        <v>-3.2209628932112442E-7</v>
      </c>
      <c r="G10">
        <v>-3.1518507109137321E-6</v>
      </c>
      <c r="H10">
        <v>-1.5306530931814822E-5</v>
      </c>
      <c r="I10">
        <v>1.5775543185081334E-4</v>
      </c>
      <c r="J10">
        <v>1.4642178210157441E-4</v>
      </c>
      <c r="K10">
        <v>2.5847514780244826E-3</v>
      </c>
      <c r="L10">
        <v>1.5139789819154589E-3</v>
      </c>
      <c r="M10">
        <v>1.5656336700359632E-3</v>
      </c>
      <c r="N10">
        <v>1.4685333092138062E-3</v>
      </c>
      <c r="O10">
        <v>-2.1847746608245466E-4</v>
      </c>
      <c r="P10">
        <v>5.2407980440579609E-5</v>
      </c>
      <c r="Q10">
        <v>-2.1166851585592062E-6</v>
      </c>
      <c r="R10">
        <v>1.4675730200645789E-5</v>
      </c>
      <c r="S10">
        <v>-2.7615825078436737E-5</v>
      </c>
      <c r="T10">
        <v>3.2516273591916387E-4</v>
      </c>
      <c r="U10">
        <v>1.6448988830125791E-4</v>
      </c>
      <c r="V10">
        <v>1.2812622383470042E-4</v>
      </c>
      <c r="W10">
        <v>5.1012743587666192E-5</v>
      </c>
      <c r="X10">
        <v>7.5102046503341881E-5</v>
      </c>
      <c r="Y10">
        <v>4.1714865828999196E-5</v>
      </c>
      <c r="Z10">
        <v>2.411140451282739E-4</v>
      </c>
      <c r="AA10">
        <v>1.0903687405521687E-4</v>
      </c>
      <c r="AB10">
        <v>6.9897023413304144E-5</v>
      </c>
      <c r="AC10">
        <v>4.8351911503920545E-5</v>
      </c>
      <c r="AD10">
        <v>-9.021305577256968E-5</v>
      </c>
      <c r="AE10">
        <v>2.3199438151691497E-4</v>
      </c>
      <c r="AF10">
        <v>-3.649893703404745E-5</v>
      </c>
      <c r="AG10">
        <v>-1.8475101305817144E-5</v>
      </c>
      <c r="AH10">
        <v>6.1964233863514889E-5</v>
      </c>
      <c r="AI10">
        <v>-1.7988181928324374E-4</v>
      </c>
      <c r="AJ10">
        <v>1.8855087991724335E-4</v>
      </c>
      <c r="AK10">
        <v>4.3575863269854596E-4</v>
      </c>
      <c r="AL10">
        <v>1.181021398127916E-3</v>
      </c>
    </row>
    <row r="11" spans="1:38" x14ac:dyDescent="0.2">
      <c r="A11" t="s">
        <v>51</v>
      </c>
      <c r="B11">
        <v>-0.11603842157620138</v>
      </c>
      <c r="C11">
        <v>1.2514904961599708E-3</v>
      </c>
      <c r="D11">
        <v>-4.094884112821977E-5</v>
      </c>
      <c r="E11">
        <v>6.2821410387102875E-7</v>
      </c>
      <c r="F11">
        <v>-1.6172073421182451E-6</v>
      </c>
      <c r="G11">
        <v>-9.2327084277554338E-6</v>
      </c>
      <c r="H11">
        <v>9.704464094665201E-5</v>
      </c>
      <c r="I11">
        <v>5.3083147761895291E-4</v>
      </c>
      <c r="J11">
        <v>-5.4472586480478727E-4</v>
      </c>
      <c r="K11">
        <v>1.5139789819154589E-3</v>
      </c>
      <c r="L11">
        <v>2.5793824043396718E-3</v>
      </c>
      <c r="M11">
        <v>2.066127339565591E-3</v>
      </c>
      <c r="N11">
        <v>1.9928657707270719E-3</v>
      </c>
      <c r="O11">
        <v>-6.3787894216452802E-5</v>
      </c>
      <c r="P11">
        <v>1.6273946601051163E-6</v>
      </c>
      <c r="Q11">
        <v>1.8597997617051835E-4</v>
      </c>
      <c r="R11">
        <v>6.5609535066008537E-5</v>
      </c>
      <c r="S11">
        <v>-5.2002625690307014E-5</v>
      </c>
      <c r="T11">
        <v>5.6753835923690555E-4</v>
      </c>
      <c r="U11">
        <v>3.2929314734775178E-5</v>
      </c>
      <c r="V11">
        <v>9.2500495107306741E-5</v>
      </c>
      <c r="W11">
        <v>3.6926477130641574E-5</v>
      </c>
      <c r="X11">
        <v>3.508278580626118E-6</v>
      </c>
      <c r="Y11">
        <v>-2.9575608927579205E-5</v>
      </c>
      <c r="Z11">
        <v>3.5881530777383958E-4</v>
      </c>
      <c r="AA11">
        <v>4.3008552664827021E-5</v>
      </c>
      <c r="AB11">
        <v>4.7475844356725816E-5</v>
      </c>
      <c r="AC11">
        <v>2.5612766105230814E-4</v>
      </c>
      <c r="AD11">
        <v>-5.8992872018659383E-5</v>
      </c>
      <c r="AE11">
        <v>1.3222417462586847E-4</v>
      </c>
      <c r="AF11">
        <v>-5.0776866518007389E-5</v>
      </c>
      <c r="AG11">
        <v>-1.3007171642184659E-4</v>
      </c>
      <c r="AH11">
        <v>-9.7687323686359239E-5</v>
      </c>
      <c r="AI11">
        <v>-1.7376644155001606E-4</v>
      </c>
      <c r="AJ11">
        <v>5.2640332745617529E-5</v>
      </c>
      <c r="AK11">
        <v>1.052518297543212E-3</v>
      </c>
      <c r="AL11">
        <v>2.8666716242164037E-3</v>
      </c>
    </row>
    <row r="12" spans="1:38" x14ac:dyDescent="0.2">
      <c r="A12" t="s">
        <v>52</v>
      </c>
      <c r="B12">
        <v>-0.10383679472691418</v>
      </c>
      <c r="C12">
        <v>2.0578423478267212E-3</v>
      </c>
      <c r="D12">
        <v>-5.7913975177369559E-5</v>
      </c>
      <c r="E12">
        <v>6.304796707600472E-7</v>
      </c>
      <c r="F12">
        <v>-3.3358111607067543E-6</v>
      </c>
      <c r="G12">
        <v>-1.6812470195910457E-5</v>
      </c>
      <c r="H12">
        <v>9.5613153694506023E-5</v>
      </c>
      <c r="I12">
        <v>9.4749738752378417E-4</v>
      </c>
      <c r="J12">
        <v>-1.4271512839656103E-3</v>
      </c>
      <c r="K12">
        <v>1.5656336700359632E-3</v>
      </c>
      <c r="L12">
        <v>2.066127339565591E-3</v>
      </c>
      <c r="M12">
        <v>3.2149706667908857E-3</v>
      </c>
      <c r="N12">
        <v>2.43646048019831E-3</v>
      </c>
      <c r="O12">
        <v>3.0343330767699259E-5</v>
      </c>
      <c r="P12">
        <v>-9.0521128922805465E-6</v>
      </c>
      <c r="Q12">
        <v>3.6901567411752123E-4</v>
      </c>
      <c r="R12">
        <v>7.946584800551978E-5</v>
      </c>
      <c r="S12">
        <v>-6.9447777617284002E-5</v>
      </c>
      <c r="T12">
        <v>6.7906434791573729E-4</v>
      </c>
      <c r="U12">
        <v>2.2186943271059991E-4</v>
      </c>
      <c r="V12">
        <v>2.1121108277495773E-4</v>
      </c>
      <c r="W12">
        <v>1.7325042355315529E-4</v>
      </c>
      <c r="X12">
        <v>4.4030040046096779E-5</v>
      </c>
      <c r="Y12">
        <v>-2.2169122959158477E-5</v>
      </c>
      <c r="Z12">
        <v>9.6910402301362674E-4</v>
      </c>
      <c r="AA12">
        <v>1.3988505826627502E-4</v>
      </c>
      <c r="AB12">
        <v>1.5554595827289093E-4</v>
      </c>
      <c r="AC12">
        <v>2.1232101009288336E-4</v>
      </c>
      <c r="AD12">
        <v>1.9679202569056144E-4</v>
      </c>
      <c r="AE12">
        <v>2.0517669905663826E-4</v>
      </c>
      <c r="AF12">
        <v>-4.9021864001511941E-5</v>
      </c>
      <c r="AG12">
        <v>-3.4537691236294701E-4</v>
      </c>
      <c r="AH12">
        <v>-3.1356053569504263E-4</v>
      </c>
      <c r="AI12">
        <v>-7.2145239984655433E-5</v>
      </c>
      <c r="AJ12">
        <v>1.1089309233427985E-4</v>
      </c>
      <c r="AK12">
        <v>3.083552768238876E-3</v>
      </c>
      <c r="AL12">
        <v>4.0992740004984918E-3</v>
      </c>
    </row>
    <row r="13" spans="1:38" x14ac:dyDescent="0.2">
      <c r="A13" t="s">
        <v>53</v>
      </c>
      <c r="B13">
        <v>0.1004223518716183</v>
      </c>
      <c r="C13">
        <v>2.4998240489301406E-3</v>
      </c>
      <c r="D13">
        <v>-1.1039133181760729E-4</v>
      </c>
      <c r="E13">
        <v>1.407533756233143E-6</v>
      </c>
      <c r="F13">
        <v>-1.1716278585893853E-5</v>
      </c>
      <c r="G13">
        <v>-1.3704425154398655E-5</v>
      </c>
      <c r="H13">
        <v>-2.4341367877990234E-4</v>
      </c>
      <c r="I13">
        <v>1.1450639612123194E-3</v>
      </c>
      <c r="J13">
        <v>-1.8537725669807814E-3</v>
      </c>
      <c r="K13">
        <v>1.4685333092138062E-3</v>
      </c>
      <c r="L13">
        <v>1.9928657707270719E-3</v>
      </c>
      <c r="M13">
        <v>2.43646048019831E-3</v>
      </c>
      <c r="N13">
        <v>2.9480246505267311E-3</v>
      </c>
      <c r="O13">
        <v>1.2914402419098069E-4</v>
      </c>
      <c r="P13">
        <v>2.2060506415521492E-5</v>
      </c>
      <c r="Q13">
        <v>3.9860108770974241E-4</v>
      </c>
      <c r="R13">
        <v>-2.4261828729805541E-4</v>
      </c>
      <c r="S13">
        <v>-4.4905982813304621E-6</v>
      </c>
      <c r="T13">
        <v>6.9211985730013208E-4</v>
      </c>
      <c r="U13">
        <v>-1.0119932177598412E-4</v>
      </c>
      <c r="V13">
        <v>-3.1840166746726392E-5</v>
      </c>
      <c r="W13">
        <v>-1.0609390933020687E-4</v>
      </c>
      <c r="X13">
        <v>-1.09379057276265E-4</v>
      </c>
      <c r="Y13">
        <v>-2.3580220127711153E-4</v>
      </c>
      <c r="Z13">
        <v>1.4268890174724282E-4</v>
      </c>
      <c r="AA13">
        <v>-6.7616915027152733E-5</v>
      </c>
      <c r="AB13">
        <v>-8.7069862596883573E-5</v>
      </c>
      <c r="AC13">
        <v>-3.3623293024817613E-5</v>
      </c>
      <c r="AD13">
        <v>-8.0590389062734462E-5</v>
      </c>
      <c r="AE13">
        <v>6.8534125630500447E-5</v>
      </c>
      <c r="AF13">
        <v>4.5884060363310199E-6</v>
      </c>
      <c r="AG13">
        <v>-9.8140343837553731E-5</v>
      </c>
      <c r="AH13">
        <v>-1.8765639706114538E-4</v>
      </c>
      <c r="AI13">
        <v>-1.5072067519570492E-4</v>
      </c>
      <c r="AJ13">
        <v>-6.1731432260778369E-5</v>
      </c>
      <c r="AK13">
        <v>7.289240914948817E-4</v>
      </c>
      <c r="AL13">
        <v>9.0945056340335784E-4</v>
      </c>
    </row>
    <row r="14" spans="1:38" x14ac:dyDescent="0.2">
      <c r="A14" t="s">
        <v>54</v>
      </c>
      <c r="B14">
        <v>-8.6822838444699943E-2</v>
      </c>
      <c r="C14">
        <v>3.5933179253314182E-4</v>
      </c>
      <c r="D14">
        <v>-3.815443439177731E-5</v>
      </c>
      <c r="E14">
        <v>3.5663546352233272E-7</v>
      </c>
      <c r="F14">
        <v>-3.4036825970215676E-6</v>
      </c>
      <c r="G14">
        <v>-2.329262762653658E-6</v>
      </c>
      <c r="H14">
        <v>1.076567738074946E-4</v>
      </c>
      <c r="I14">
        <v>1.1569640792940953E-4</v>
      </c>
      <c r="J14">
        <v>-3.7441032905224047E-4</v>
      </c>
      <c r="K14">
        <v>-2.1847746608245466E-4</v>
      </c>
      <c r="L14">
        <v>-6.3787894216452802E-5</v>
      </c>
      <c r="M14">
        <v>3.0343330767699259E-5</v>
      </c>
      <c r="N14">
        <v>1.2914402419098069E-4</v>
      </c>
      <c r="O14">
        <v>3.3765366135622232E-4</v>
      </c>
      <c r="P14">
        <v>-1.8569450285125066E-4</v>
      </c>
      <c r="Q14">
        <v>1.2461470677450963E-4</v>
      </c>
      <c r="R14">
        <v>6.0023707291430642E-5</v>
      </c>
      <c r="S14">
        <v>9.720859063754657E-6</v>
      </c>
      <c r="T14">
        <v>-9.3679197758314263E-5</v>
      </c>
      <c r="U14">
        <v>-1.6221850859836158E-4</v>
      </c>
      <c r="V14">
        <v>-1.4674446367419946E-4</v>
      </c>
      <c r="W14">
        <v>-1.6526403002731558E-4</v>
      </c>
      <c r="X14">
        <v>-1.5547688599463E-4</v>
      </c>
      <c r="Y14">
        <v>-1.7300669066426546E-4</v>
      </c>
      <c r="Z14">
        <v>-9.0688177183811795E-5</v>
      </c>
      <c r="AA14">
        <v>-1.624507531684933E-4</v>
      </c>
      <c r="AB14">
        <v>-1.4976798280946061E-4</v>
      </c>
      <c r="AC14">
        <v>-9.1021842269327114E-5</v>
      </c>
      <c r="AD14">
        <v>-6.813341992730943E-5</v>
      </c>
      <c r="AE14">
        <v>-1.9539853167959694E-4</v>
      </c>
      <c r="AF14">
        <v>1.7860125300843399E-5</v>
      </c>
      <c r="AG14">
        <v>-5.1172471083111583E-5</v>
      </c>
      <c r="AH14">
        <v>-2.2621205408135446E-5</v>
      </c>
      <c r="AI14">
        <v>-1.1815262586697151E-4</v>
      </c>
      <c r="AJ14">
        <v>-2.008529690260274E-4</v>
      </c>
      <c r="AK14">
        <v>-3.8619813065707796E-5</v>
      </c>
      <c r="AL14">
        <v>4.3470608544697587E-5</v>
      </c>
    </row>
    <row r="15" spans="1:38" x14ac:dyDescent="0.2">
      <c r="A15" t="s">
        <v>55</v>
      </c>
      <c r="B15">
        <v>0.16788462988818506</v>
      </c>
      <c r="C15">
        <v>1.0113937214667327E-6</v>
      </c>
      <c r="D15">
        <v>-7.2795937571410493E-5</v>
      </c>
      <c r="E15">
        <v>1.3797988040752383E-6</v>
      </c>
      <c r="F15">
        <v>-5.1477405488378426E-7</v>
      </c>
      <c r="G15">
        <v>-1.2336917663742062E-7</v>
      </c>
      <c r="H15">
        <v>-1.422553832980845E-4</v>
      </c>
      <c r="I15">
        <v>2.0508342396619042E-4</v>
      </c>
      <c r="J15">
        <v>-9.5999728761143486E-5</v>
      </c>
      <c r="K15">
        <v>5.2407980440579609E-5</v>
      </c>
      <c r="L15">
        <v>1.6273946601051163E-6</v>
      </c>
      <c r="M15">
        <v>-9.0521128922805465E-6</v>
      </c>
      <c r="N15">
        <v>2.2060506415521492E-5</v>
      </c>
      <c r="O15">
        <v>-1.8569450285125066E-4</v>
      </c>
      <c r="P15">
        <v>6.9275890243811135E-4</v>
      </c>
      <c r="Q15">
        <v>3.8541370523724443E-5</v>
      </c>
      <c r="R15">
        <v>-7.2475923723660049E-5</v>
      </c>
      <c r="S15">
        <v>2.4637317800909549E-5</v>
      </c>
      <c r="T15">
        <v>-7.474233715450982E-5</v>
      </c>
      <c r="U15">
        <v>-2.2335534111341613E-5</v>
      </c>
      <c r="V15">
        <v>-5.1352990622851069E-5</v>
      </c>
      <c r="W15">
        <v>-3.8218555959610345E-5</v>
      </c>
      <c r="X15">
        <v>-5.3711791986062474E-5</v>
      </c>
      <c r="Y15">
        <v>-3.2289573827664288E-5</v>
      </c>
      <c r="Z15">
        <v>-1.3012730981569012E-4</v>
      </c>
      <c r="AA15">
        <v>-3.3265604737786351E-5</v>
      </c>
      <c r="AB15">
        <v>-2.4569788062412969E-5</v>
      </c>
      <c r="AC15">
        <v>-1.1896915164282584E-4</v>
      </c>
      <c r="AD15">
        <v>-1.0895520225444251E-4</v>
      </c>
      <c r="AE15">
        <v>-6.2830049325270559E-5</v>
      </c>
      <c r="AF15">
        <v>2.6914162160587055E-5</v>
      </c>
      <c r="AG15">
        <v>7.3090305524119533E-5</v>
      </c>
      <c r="AH15">
        <v>6.7007874260891387E-5</v>
      </c>
      <c r="AI15">
        <v>8.2514014695242639E-5</v>
      </c>
      <c r="AJ15">
        <v>3.3927801326661394E-5</v>
      </c>
      <c r="AK15">
        <v>-1.540537768883164E-4</v>
      </c>
      <c r="AL15">
        <v>-9.4907875100946014E-4</v>
      </c>
    </row>
    <row r="16" spans="1:38" x14ac:dyDescent="0.2">
      <c r="A16" t="s">
        <v>74</v>
      </c>
      <c r="B16">
        <v>6.1753723678480031E-3</v>
      </c>
      <c r="C16">
        <v>4.9670434483377367E-4</v>
      </c>
      <c r="D16">
        <v>-3.7356494079785656E-5</v>
      </c>
      <c r="E16">
        <v>4.2759490528907412E-7</v>
      </c>
      <c r="F16">
        <v>6.2981877157942972E-7</v>
      </c>
      <c r="G16">
        <v>1.0685483222414431E-6</v>
      </c>
      <c r="H16">
        <v>1.3685166363699882E-4</v>
      </c>
      <c r="I16">
        <v>1.265646273506865E-4</v>
      </c>
      <c r="J16">
        <v>-3.8093747183944705E-4</v>
      </c>
      <c r="K16">
        <v>-2.1166851585592062E-6</v>
      </c>
      <c r="L16">
        <v>1.8597997617051835E-4</v>
      </c>
      <c r="M16">
        <v>3.6901567411752123E-4</v>
      </c>
      <c r="N16">
        <v>3.9860108770974241E-4</v>
      </c>
      <c r="O16">
        <v>1.2461470677450963E-4</v>
      </c>
      <c r="P16">
        <v>3.8541370523724443E-5</v>
      </c>
      <c r="Q16">
        <v>2.6726657884742996E-3</v>
      </c>
      <c r="R16">
        <v>2.3460161614381387E-4</v>
      </c>
      <c r="S16">
        <v>4.0396583050570956E-5</v>
      </c>
      <c r="T16">
        <v>-1.5383907320849172E-4</v>
      </c>
      <c r="U16">
        <v>-2.2567480899933098E-5</v>
      </c>
      <c r="V16">
        <v>-1.3737007142183161E-4</v>
      </c>
      <c r="W16">
        <v>-2.3936521514711416E-5</v>
      </c>
      <c r="X16">
        <v>-1.2946108255464984E-4</v>
      </c>
      <c r="Y16">
        <v>-1.3495073394113942E-4</v>
      </c>
      <c r="Z16">
        <v>3.356846733454979E-5</v>
      </c>
      <c r="AA16">
        <v>-1.104582948981032E-4</v>
      </c>
      <c r="AB16">
        <v>-8.1067532035115333E-5</v>
      </c>
      <c r="AC16">
        <v>-1.0003898035512845E-4</v>
      </c>
      <c r="AD16">
        <v>-1.2657168058127788E-4</v>
      </c>
      <c r="AE16">
        <v>-2.3614508635891638E-4</v>
      </c>
      <c r="AF16">
        <v>5.9550340722653824E-5</v>
      </c>
      <c r="AG16">
        <v>4.123373150175983E-5</v>
      </c>
      <c r="AH16">
        <v>-4.5066907372377584E-5</v>
      </c>
      <c r="AI16">
        <v>-1.9753055342053782E-4</v>
      </c>
      <c r="AJ16">
        <v>-1.673118952549356E-4</v>
      </c>
      <c r="AK16">
        <v>4.0364711340727449E-4</v>
      </c>
      <c r="AL16">
        <v>-3.2877227298290321E-3</v>
      </c>
    </row>
    <row r="17" spans="1:38" x14ac:dyDescent="0.2">
      <c r="A17" t="s">
        <v>75</v>
      </c>
      <c r="B17">
        <v>-2.8570397727055268E-2</v>
      </c>
      <c r="C17">
        <v>2.9322771365155502E-4</v>
      </c>
      <c r="D17">
        <v>-9.6424489692912424E-6</v>
      </c>
      <c r="E17">
        <v>1.680336718549152E-7</v>
      </c>
      <c r="F17">
        <v>1.9492088234102386E-6</v>
      </c>
      <c r="G17">
        <v>-2.4121673474032823E-6</v>
      </c>
      <c r="H17">
        <v>5.137867258616617E-4</v>
      </c>
      <c r="I17">
        <v>-3.2397927403205362E-4</v>
      </c>
      <c r="J17">
        <v>-1.095571767722503E-4</v>
      </c>
      <c r="K17">
        <v>1.4675730200645789E-5</v>
      </c>
      <c r="L17">
        <v>6.5609535066008537E-5</v>
      </c>
      <c r="M17">
        <v>7.946584800551978E-5</v>
      </c>
      <c r="N17">
        <v>-2.4261828729805541E-4</v>
      </c>
      <c r="O17">
        <v>6.0023707291430642E-5</v>
      </c>
      <c r="P17">
        <v>-7.2475923723660049E-5</v>
      </c>
      <c r="Q17">
        <v>2.3460161614381387E-4</v>
      </c>
      <c r="R17">
        <v>8.2362455544611989E-4</v>
      </c>
      <c r="S17">
        <v>-3.2461727831116624E-5</v>
      </c>
      <c r="T17">
        <v>1.806412128268023E-5</v>
      </c>
      <c r="U17">
        <v>1.394940465068653E-4</v>
      </c>
      <c r="V17">
        <v>9.7667949925982016E-5</v>
      </c>
      <c r="W17">
        <v>1.5301971938122097E-4</v>
      </c>
      <c r="X17">
        <v>1.3598312619678485E-4</v>
      </c>
      <c r="Y17">
        <v>1.5245295686200659E-4</v>
      </c>
      <c r="Z17">
        <v>5.4563069990100225E-4</v>
      </c>
      <c r="AA17">
        <v>4.7969192084206777E-5</v>
      </c>
      <c r="AB17">
        <v>2.0513423056947279E-4</v>
      </c>
      <c r="AC17">
        <v>3.284185756094835E-4</v>
      </c>
      <c r="AD17">
        <v>3.7555622515827747E-5</v>
      </c>
      <c r="AE17">
        <v>8.748847568642356E-5</v>
      </c>
      <c r="AF17">
        <v>-3.1293185513626155E-5</v>
      </c>
      <c r="AG17">
        <v>-1.6126023072227601E-4</v>
      </c>
      <c r="AH17">
        <v>-1.4607868310096154E-4</v>
      </c>
      <c r="AI17">
        <v>-8.2136315290901583E-5</v>
      </c>
      <c r="AJ17">
        <v>5.6853497491108306E-5</v>
      </c>
      <c r="AK17">
        <v>1.2600189609595931E-3</v>
      </c>
      <c r="AL17">
        <v>2.0326671694665009E-3</v>
      </c>
    </row>
    <row r="18" spans="1:38" x14ac:dyDescent="0.2">
      <c r="A18" t="s">
        <v>56</v>
      </c>
      <c r="B18">
        <v>4.4217377181533062E-3</v>
      </c>
      <c r="C18">
        <v>-1.1888182959127831E-4</v>
      </c>
      <c r="D18">
        <v>-9.5251835126580059E-6</v>
      </c>
      <c r="E18">
        <v>1.6086958889698568E-7</v>
      </c>
      <c r="F18">
        <v>-7.6099522689724955E-7</v>
      </c>
      <c r="G18">
        <v>1.2243568445699281E-6</v>
      </c>
      <c r="H18">
        <v>4.0060671806974538E-5</v>
      </c>
      <c r="I18">
        <v>-5.3409189011997924E-5</v>
      </c>
      <c r="J18">
        <v>1.2710126904816034E-4</v>
      </c>
      <c r="K18">
        <v>-2.7615825078436737E-5</v>
      </c>
      <c r="L18">
        <v>-5.2002625690307014E-5</v>
      </c>
      <c r="M18">
        <v>-6.9447777617284002E-5</v>
      </c>
      <c r="N18">
        <v>-4.4905982813304621E-6</v>
      </c>
      <c r="O18">
        <v>9.720859063754657E-6</v>
      </c>
      <c r="P18">
        <v>2.4637317800909549E-5</v>
      </c>
      <c r="Q18">
        <v>4.0396583050570956E-5</v>
      </c>
      <c r="R18">
        <v>-3.2461727831116624E-5</v>
      </c>
      <c r="S18">
        <v>1.314469618547468E-4</v>
      </c>
      <c r="T18">
        <v>-1.2627528594437941E-5</v>
      </c>
      <c r="U18">
        <v>-6.4522130946138105E-5</v>
      </c>
      <c r="V18">
        <v>-7.1180565058700466E-5</v>
      </c>
      <c r="W18">
        <v>-6.8970063170110106E-5</v>
      </c>
      <c r="X18">
        <v>-4.9259729540188524E-5</v>
      </c>
      <c r="Y18">
        <v>-4.4280531223252293E-5</v>
      </c>
      <c r="Z18">
        <v>-1.7373120861415361E-4</v>
      </c>
      <c r="AA18">
        <v>-7.0291530293906329E-5</v>
      </c>
      <c r="AB18">
        <v>-7.0664859773725535E-5</v>
      </c>
      <c r="AC18">
        <v>-1.0260146132290903E-4</v>
      </c>
      <c r="AD18">
        <v>-9.2692278011749811E-5</v>
      </c>
      <c r="AE18">
        <v>-5.247179388989491E-5</v>
      </c>
      <c r="AF18">
        <v>1.4427981051894279E-4</v>
      </c>
      <c r="AG18">
        <v>2.3991112119895949E-4</v>
      </c>
      <c r="AH18">
        <v>3.0318174977662232E-6</v>
      </c>
      <c r="AI18">
        <v>-1.3490536425988381E-5</v>
      </c>
      <c r="AJ18">
        <v>-4.166738257455364E-5</v>
      </c>
      <c r="AK18">
        <v>-3.6338975652421696E-4</v>
      </c>
      <c r="AL18">
        <v>-9.9010743776852192E-3</v>
      </c>
    </row>
    <row r="19" spans="1:38" x14ac:dyDescent="0.2">
      <c r="A19" t="s">
        <v>57</v>
      </c>
      <c r="B19">
        <v>0.10563891621055886</v>
      </c>
      <c r="C19">
        <v>1.0199109295059995E-3</v>
      </c>
      <c r="D19">
        <v>2.9250763117061058E-5</v>
      </c>
      <c r="E19">
        <v>-4.9421886907398326E-7</v>
      </c>
      <c r="F19">
        <v>8.6450308998339418E-6</v>
      </c>
      <c r="G19">
        <v>4.2043462389814579E-6</v>
      </c>
      <c r="H19">
        <v>1.0029412965184243E-4</v>
      </c>
      <c r="I19">
        <v>-2.8388705261737994E-6</v>
      </c>
      <c r="J19">
        <v>-5.5007105061917732E-4</v>
      </c>
      <c r="K19">
        <v>3.2516273591916387E-4</v>
      </c>
      <c r="L19">
        <v>5.6753835923690555E-4</v>
      </c>
      <c r="M19">
        <v>6.7906434791573729E-4</v>
      </c>
      <c r="N19">
        <v>6.9211985730013208E-4</v>
      </c>
      <c r="O19">
        <v>-9.3679197758314263E-5</v>
      </c>
      <c r="P19">
        <v>-7.474233715450982E-5</v>
      </c>
      <c r="Q19">
        <v>-1.5383907320849172E-4</v>
      </c>
      <c r="R19">
        <v>1.806412128268023E-5</v>
      </c>
      <c r="S19">
        <v>-1.2627528594437941E-5</v>
      </c>
      <c r="T19">
        <v>1.1179132437429988E-3</v>
      </c>
      <c r="U19">
        <v>8.7577718951600299E-5</v>
      </c>
      <c r="V19">
        <v>1.4782151443167789E-4</v>
      </c>
      <c r="W19">
        <v>1.202127410452247E-4</v>
      </c>
      <c r="X19">
        <v>1.4235436072627922E-4</v>
      </c>
      <c r="Y19">
        <v>8.5612186337318615E-5</v>
      </c>
      <c r="Z19">
        <v>1.822314797555488E-4</v>
      </c>
      <c r="AA19">
        <v>7.0988986393154133E-5</v>
      </c>
      <c r="AB19">
        <v>1.2793728228741431E-4</v>
      </c>
      <c r="AC19">
        <v>5.6903460382430712E-5</v>
      </c>
      <c r="AD19">
        <v>1.2808155560715189E-4</v>
      </c>
      <c r="AE19">
        <v>1.6609261590552738E-4</v>
      </c>
      <c r="AF19">
        <v>-1.069406068963177E-5</v>
      </c>
      <c r="AG19">
        <v>4.1218898197605686E-6</v>
      </c>
      <c r="AH19">
        <v>-8.0479016927479654E-5</v>
      </c>
      <c r="AI19">
        <v>-1.2194659644551445E-4</v>
      </c>
      <c r="AJ19">
        <v>5.6130485394423487E-5</v>
      </c>
      <c r="AK19">
        <v>1.4620496653568356E-4</v>
      </c>
      <c r="AL19">
        <v>-9.7122339958913631E-4</v>
      </c>
    </row>
    <row r="20" spans="1:38" x14ac:dyDescent="0.2">
      <c r="A20" t="s">
        <v>58</v>
      </c>
      <c r="B20">
        <v>-2.1358618079229806E-2</v>
      </c>
      <c r="C20">
        <v>-7.6867217283246945E-4</v>
      </c>
      <c r="D20">
        <v>1.0002735466648811E-4</v>
      </c>
      <c r="E20">
        <v>-1.6460043078911126E-6</v>
      </c>
      <c r="F20">
        <v>2.3840960654158269E-6</v>
      </c>
      <c r="G20">
        <v>-4.2902152116876318E-6</v>
      </c>
      <c r="H20">
        <v>-1.0528942491672935E-4</v>
      </c>
      <c r="I20">
        <v>9.625053137307306E-5</v>
      </c>
      <c r="J20">
        <v>6.8504499296967892E-4</v>
      </c>
      <c r="K20">
        <v>1.6448988830125791E-4</v>
      </c>
      <c r="L20">
        <v>3.2929314734775178E-5</v>
      </c>
      <c r="M20">
        <v>2.2186943271059991E-4</v>
      </c>
      <c r="N20">
        <v>-1.0119932177598412E-4</v>
      </c>
      <c r="O20">
        <v>-1.6221850859836158E-4</v>
      </c>
      <c r="P20">
        <v>-2.2335534111341613E-5</v>
      </c>
      <c r="Q20">
        <v>-2.2567480899933098E-5</v>
      </c>
      <c r="R20">
        <v>1.394940465068653E-4</v>
      </c>
      <c r="S20">
        <v>-6.4522130946138105E-5</v>
      </c>
      <c r="T20">
        <v>8.7577718951600299E-5</v>
      </c>
      <c r="U20">
        <v>5.6608810275070474E-3</v>
      </c>
      <c r="V20">
        <v>1.8591409292627338E-3</v>
      </c>
      <c r="W20">
        <v>1.9190569844707327E-3</v>
      </c>
      <c r="X20">
        <v>1.8383992805826987E-3</v>
      </c>
      <c r="Y20">
        <v>1.8329372944553405E-3</v>
      </c>
      <c r="Z20">
        <v>2.2257051522154413E-3</v>
      </c>
      <c r="AA20">
        <v>1.912795292793896E-3</v>
      </c>
      <c r="AB20">
        <v>1.967264050686892E-3</v>
      </c>
      <c r="AC20">
        <v>1.9459654629032539E-3</v>
      </c>
      <c r="AD20">
        <v>1.9234477107744766E-3</v>
      </c>
      <c r="AE20">
        <v>1.9343044580812149E-3</v>
      </c>
      <c r="AF20">
        <v>-6.9094747112181216E-5</v>
      </c>
      <c r="AG20">
        <v>-2.800541060387512E-5</v>
      </c>
      <c r="AH20">
        <v>2.0423697293106579E-4</v>
      </c>
      <c r="AI20">
        <v>5.9224413869626673E-4</v>
      </c>
      <c r="AJ20">
        <v>1.2144513629366524E-3</v>
      </c>
      <c r="AK20">
        <v>1.8557043096712076E-3</v>
      </c>
      <c r="AL20">
        <v>1.5986915576964179E-3</v>
      </c>
    </row>
    <row r="21" spans="1:38" x14ac:dyDescent="0.2">
      <c r="A21" t="s">
        <v>59</v>
      </c>
      <c r="B21">
        <v>3.8533351018771783E-2</v>
      </c>
      <c r="C21">
        <v>9.9843899083445348E-5</v>
      </c>
      <c r="D21">
        <v>9.7696914191536038E-5</v>
      </c>
      <c r="E21">
        <v>-1.5113752313650239E-6</v>
      </c>
      <c r="F21">
        <v>4.8115884531056557E-6</v>
      </c>
      <c r="G21">
        <v>-4.7004202082222364E-6</v>
      </c>
      <c r="H21">
        <v>6.1315621847286546E-5</v>
      </c>
      <c r="I21">
        <v>2.7722529029481345E-5</v>
      </c>
      <c r="J21">
        <v>-6.766603457855825E-5</v>
      </c>
      <c r="K21">
        <v>1.2812622383470042E-4</v>
      </c>
      <c r="L21">
        <v>9.2500495107306741E-5</v>
      </c>
      <c r="M21">
        <v>2.1121108277495773E-4</v>
      </c>
      <c r="N21">
        <v>-3.1840166746726392E-5</v>
      </c>
      <c r="O21">
        <v>-1.4674446367419946E-4</v>
      </c>
      <c r="P21">
        <v>-5.1352990622851069E-5</v>
      </c>
      <c r="Q21">
        <v>-1.3737007142183161E-4</v>
      </c>
      <c r="R21">
        <v>9.7667949925982016E-5</v>
      </c>
      <c r="S21">
        <v>-7.1180565058700466E-5</v>
      </c>
      <c r="T21">
        <v>1.4782151443167789E-4</v>
      </c>
      <c r="U21">
        <v>1.8591409292627338E-3</v>
      </c>
      <c r="V21">
        <v>2.9039977571822537E-3</v>
      </c>
      <c r="W21">
        <v>1.8739630910457915E-3</v>
      </c>
      <c r="X21">
        <v>1.8121681294245506E-3</v>
      </c>
      <c r="Y21">
        <v>1.8020160735777568E-3</v>
      </c>
      <c r="Z21">
        <v>2.0843157520594028E-3</v>
      </c>
      <c r="AA21">
        <v>1.8547431115489821E-3</v>
      </c>
      <c r="AB21">
        <v>1.9142122248394489E-3</v>
      </c>
      <c r="AC21">
        <v>1.8925716503594219E-3</v>
      </c>
      <c r="AD21">
        <v>1.859179841578501E-3</v>
      </c>
      <c r="AE21">
        <v>1.8862661205086733E-3</v>
      </c>
      <c r="AF21">
        <v>-8.1414709880193694E-5</v>
      </c>
      <c r="AG21">
        <v>-1.5782093667063616E-4</v>
      </c>
      <c r="AH21">
        <v>1.328343357181967E-5</v>
      </c>
      <c r="AI21">
        <v>4.8585264649225334E-4</v>
      </c>
      <c r="AJ21">
        <v>1.0697430335632014E-3</v>
      </c>
      <c r="AK21">
        <v>1.3332469138491758E-3</v>
      </c>
      <c r="AL21">
        <v>2.0554803050226098E-3</v>
      </c>
    </row>
    <row r="22" spans="1:38" x14ac:dyDescent="0.2">
      <c r="A22" t="s">
        <v>60</v>
      </c>
      <c r="B22">
        <v>-3.1788219827850503E-2</v>
      </c>
      <c r="C22">
        <v>3.3524910201420619E-4</v>
      </c>
      <c r="D22">
        <v>1.5148120499576713E-4</v>
      </c>
      <c r="E22">
        <v>-2.2779225865855253E-6</v>
      </c>
      <c r="F22">
        <v>3.6774430108213565E-6</v>
      </c>
      <c r="G22">
        <v>-3.0597444992348512E-6</v>
      </c>
      <c r="H22">
        <v>5.3322173083817802E-5</v>
      </c>
      <c r="I22">
        <v>9.3460319157949705E-5</v>
      </c>
      <c r="J22">
        <v>3.800076857157507E-4</v>
      </c>
      <c r="K22">
        <v>5.1012743587666192E-5</v>
      </c>
      <c r="L22">
        <v>3.6926477130641574E-5</v>
      </c>
      <c r="M22">
        <v>1.7325042355315529E-4</v>
      </c>
      <c r="N22">
        <v>-1.0609390933020687E-4</v>
      </c>
      <c r="O22">
        <v>-1.6526403002731558E-4</v>
      </c>
      <c r="P22">
        <v>-3.8218555959610345E-5</v>
      </c>
      <c r="Q22">
        <v>-2.3936521514711416E-5</v>
      </c>
      <c r="R22">
        <v>1.5301971938122097E-4</v>
      </c>
      <c r="S22">
        <v>-6.8970063170110106E-5</v>
      </c>
      <c r="T22">
        <v>1.202127410452247E-4</v>
      </c>
      <c r="U22">
        <v>1.9190569844707327E-3</v>
      </c>
      <c r="V22">
        <v>1.8739630910457915E-3</v>
      </c>
      <c r="W22">
        <v>3.3756487228512305E-3</v>
      </c>
      <c r="X22">
        <v>1.8569111189023677E-3</v>
      </c>
      <c r="Y22">
        <v>1.8432616468664869E-3</v>
      </c>
      <c r="Z22">
        <v>2.2526077185054897E-3</v>
      </c>
      <c r="AA22">
        <v>1.9050410418377075E-3</v>
      </c>
      <c r="AB22">
        <v>1.9834305206509056E-3</v>
      </c>
      <c r="AC22">
        <v>1.9719113567190309E-3</v>
      </c>
      <c r="AD22">
        <v>1.9119262111984207E-3</v>
      </c>
      <c r="AE22">
        <v>1.9247589717999031E-3</v>
      </c>
      <c r="AF22">
        <v>-7.3788602868653645E-5</v>
      </c>
      <c r="AG22">
        <v>-1.4837569300896051E-4</v>
      </c>
      <c r="AH22">
        <v>-1.4209814536660597E-4</v>
      </c>
      <c r="AI22">
        <v>6.2447968276697083E-4</v>
      </c>
      <c r="AJ22">
        <v>1.1006478529723179E-3</v>
      </c>
      <c r="AK22">
        <v>1.8522942790446585E-3</v>
      </c>
      <c r="AL22">
        <v>8.3708268416976626E-4</v>
      </c>
    </row>
    <row r="23" spans="1:38" x14ac:dyDescent="0.2">
      <c r="A23" t="s">
        <v>61</v>
      </c>
      <c r="B23">
        <v>6.4772105502824071E-2</v>
      </c>
      <c r="C23">
        <v>2.542012668357897E-4</v>
      </c>
      <c r="D23">
        <v>1.5591486103541338E-4</v>
      </c>
      <c r="E23">
        <v>-2.4279442505935095E-6</v>
      </c>
      <c r="F23">
        <v>2.4271270391688767E-6</v>
      </c>
      <c r="G23">
        <v>-2.4433196165733625E-6</v>
      </c>
      <c r="H23">
        <v>1.0231736943888079E-6</v>
      </c>
      <c r="I23">
        <v>2.5625850678215843E-5</v>
      </c>
      <c r="J23">
        <v>-7.4020544988011533E-5</v>
      </c>
      <c r="K23">
        <v>7.5102046503341881E-5</v>
      </c>
      <c r="L23">
        <v>3.508278580626118E-6</v>
      </c>
      <c r="M23">
        <v>4.4030040046096779E-5</v>
      </c>
      <c r="N23">
        <v>-1.09379057276265E-4</v>
      </c>
      <c r="O23">
        <v>-1.5547688599463E-4</v>
      </c>
      <c r="P23">
        <v>-5.3711791986062474E-5</v>
      </c>
      <c r="Q23">
        <v>-1.2946108255464984E-4</v>
      </c>
      <c r="R23">
        <v>1.3598312619678485E-4</v>
      </c>
      <c r="S23">
        <v>-4.9259729540188524E-5</v>
      </c>
      <c r="T23">
        <v>1.4235436072627922E-4</v>
      </c>
      <c r="U23">
        <v>1.8383992805826987E-3</v>
      </c>
      <c r="V23">
        <v>1.8121681294245506E-3</v>
      </c>
      <c r="W23">
        <v>1.8569111189023677E-3</v>
      </c>
      <c r="X23">
        <v>3.3608982072781614E-3</v>
      </c>
      <c r="Y23">
        <v>1.8006741756848607E-3</v>
      </c>
      <c r="Z23">
        <v>2.0176874154114225E-3</v>
      </c>
      <c r="AA23">
        <v>1.8529140743705269E-3</v>
      </c>
      <c r="AB23">
        <v>1.8988313543409519E-3</v>
      </c>
      <c r="AC23">
        <v>1.896946618750383E-3</v>
      </c>
      <c r="AD23">
        <v>1.8376639034045792E-3</v>
      </c>
      <c r="AE23">
        <v>1.8871044816416663E-3</v>
      </c>
      <c r="AF23">
        <v>-6.0230969855493805E-5</v>
      </c>
      <c r="AG23">
        <v>-1.4933057935808671E-5</v>
      </c>
      <c r="AH23">
        <v>5.1566806203337068E-5</v>
      </c>
      <c r="AI23">
        <v>4.8792132441952948E-4</v>
      </c>
      <c r="AJ23">
        <v>1.0984911221362502E-3</v>
      </c>
      <c r="AK23">
        <v>1.0068176402697609E-3</v>
      </c>
      <c r="AL23">
        <v>-3.5028013161433023E-4</v>
      </c>
    </row>
    <row r="24" spans="1:38" x14ac:dyDescent="0.2">
      <c r="A24" t="s">
        <v>62</v>
      </c>
      <c r="B24">
        <v>2.7190868861844582E-2</v>
      </c>
      <c r="C24">
        <v>1.1485613489293509E-3</v>
      </c>
      <c r="D24">
        <v>1.6376817462691743E-4</v>
      </c>
      <c r="E24">
        <v>-2.4522016072461152E-6</v>
      </c>
      <c r="F24">
        <v>3.4114284080595614E-6</v>
      </c>
      <c r="G24">
        <v>-2.38893241984942E-6</v>
      </c>
      <c r="H24">
        <v>-1.0488322641709349E-4</v>
      </c>
      <c r="I24">
        <v>1.2023779858716811E-4</v>
      </c>
      <c r="J24">
        <v>-9.9234758414382942E-4</v>
      </c>
      <c r="K24">
        <v>4.1714865828999196E-5</v>
      </c>
      <c r="L24">
        <v>-2.9575608927579205E-5</v>
      </c>
      <c r="M24">
        <v>-2.2169122959158477E-5</v>
      </c>
      <c r="N24">
        <v>-2.3580220127711153E-4</v>
      </c>
      <c r="O24">
        <v>-1.7300669066426546E-4</v>
      </c>
      <c r="P24">
        <v>-3.2289573827664288E-5</v>
      </c>
      <c r="Q24">
        <v>-1.3495073394113942E-4</v>
      </c>
      <c r="R24">
        <v>1.5245295686200659E-4</v>
      </c>
      <c r="S24">
        <v>-4.4280531223252293E-5</v>
      </c>
      <c r="T24">
        <v>8.5612186337318615E-5</v>
      </c>
      <c r="U24">
        <v>1.8329372944553405E-3</v>
      </c>
      <c r="V24">
        <v>1.8020160735777568E-3</v>
      </c>
      <c r="W24">
        <v>1.8432616468664869E-3</v>
      </c>
      <c r="X24">
        <v>1.8006741756848607E-3</v>
      </c>
      <c r="Y24">
        <v>3.2728464856861656E-3</v>
      </c>
      <c r="Z24">
        <v>2.0245120832106853E-3</v>
      </c>
      <c r="AA24">
        <v>1.8369250440353826E-3</v>
      </c>
      <c r="AB24">
        <v>1.8822998102729143E-3</v>
      </c>
      <c r="AC24">
        <v>1.8685294126952552E-3</v>
      </c>
      <c r="AD24">
        <v>1.823432850529258E-3</v>
      </c>
      <c r="AE24">
        <v>1.8609015339981203E-3</v>
      </c>
      <c r="AF24">
        <v>-5.8479465151153238E-5</v>
      </c>
      <c r="AG24">
        <v>2.2584090247459543E-5</v>
      </c>
      <c r="AH24">
        <v>-7.8491701891405814E-5</v>
      </c>
      <c r="AI24">
        <v>3.9237678988009872E-4</v>
      </c>
      <c r="AJ24">
        <v>1.0532951890321633E-3</v>
      </c>
      <c r="AK24">
        <v>1.2138140024918758E-3</v>
      </c>
      <c r="AL24">
        <v>-8.3420667951310907E-4</v>
      </c>
    </row>
    <row r="25" spans="1:38" x14ac:dyDescent="0.2">
      <c r="A25" t="s">
        <v>63</v>
      </c>
      <c r="B25">
        <v>0.13508929737163061</v>
      </c>
      <c r="C25">
        <v>7.4899313178353015E-4</v>
      </c>
      <c r="D25">
        <v>2.3104011681060292E-4</v>
      </c>
      <c r="E25">
        <v>-3.6698382590131281E-6</v>
      </c>
      <c r="F25">
        <v>1.0082272882256399E-5</v>
      </c>
      <c r="G25">
        <v>-1.3634444692037891E-5</v>
      </c>
      <c r="H25">
        <v>5.1918324552543635E-4</v>
      </c>
      <c r="I25">
        <v>2.0126442066449894E-4</v>
      </c>
      <c r="J25">
        <v>-7.1630488343343748E-4</v>
      </c>
      <c r="K25">
        <v>2.411140451282739E-4</v>
      </c>
      <c r="L25">
        <v>3.5881530777383958E-4</v>
      </c>
      <c r="M25">
        <v>9.6910402301362674E-4</v>
      </c>
      <c r="N25">
        <v>1.4268890174724282E-4</v>
      </c>
      <c r="O25">
        <v>-9.0688177183811795E-5</v>
      </c>
      <c r="P25">
        <v>-1.3012730981569012E-4</v>
      </c>
      <c r="Q25">
        <v>3.356846733454979E-5</v>
      </c>
      <c r="R25">
        <v>5.4563069990100225E-4</v>
      </c>
      <c r="S25">
        <v>-1.7373120861415361E-4</v>
      </c>
      <c r="T25">
        <v>1.822314797555488E-4</v>
      </c>
      <c r="U25">
        <v>2.2257051522154413E-3</v>
      </c>
      <c r="V25">
        <v>2.0843157520594028E-3</v>
      </c>
      <c r="W25">
        <v>2.2526077185054897E-3</v>
      </c>
      <c r="X25">
        <v>2.0176874154114225E-3</v>
      </c>
      <c r="Y25">
        <v>2.0245120832106853E-3</v>
      </c>
      <c r="Z25">
        <v>4.7946962091994262E-3</v>
      </c>
      <c r="AA25">
        <v>2.0844540782809663E-3</v>
      </c>
      <c r="AB25">
        <v>2.2759411718895574E-3</v>
      </c>
      <c r="AC25">
        <v>2.1764611310518042E-3</v>
      </c>
      <c r="AD25">
        <v>2.0787378323642199E-3</v>
      </c>
      <c r="AE25">
        <v>2.0937782408174512E-3</v>
      </c>
      <c r="AF25">
        <v>-1.4408431904570646E-4</v>
      </c>
      <c r="AG25">
        <v>-7.3929879812733115E-4</v>
      </c>
      <c r="AH25">
        <v>-6.3263093883486013E-4</v>
      </c>
      <c r="AI25">
        <v>5.4771532522141344E-4</v>
      </c>
      <c r="AJ25">
        <v>8.0382141040420099E-4</v>
      </c>
      <c r="AK25">
        <v>5.3073350236214987E-3</v>
      </c>
      <c r="AL25">
        <v>6.2611633868852228E-3</v>
      </c>
    </row>
    <row r="26" spans="1:38" x14ac:dyDescent="0.2">
      <c r="A26" t="s">
        <v>64</v>
      </c>
      <c r="B26">
        <v>2.7408885369360939E-2</v>
      </c>
      <c r="C26">
        <v>-4.5955709517460277E-5</v>
      </c>
      <c r="D26">
        <v>1.5391516887878798E-4</v>
      </c>
      <c r="E26">
        <v>-2.329387002131441E-6</v>
      </c>
      <c r="F26">
        <v>2.7490599463574994E-7</v>
      </c>
      <c r="G26">
        <v>-3.7931236235367004E-6</v>
      </c>
      <c r="H26">
        <v>-3.721287412152701E-4</v>
      </c>
      <c r="I26">
        <v>4.3812760120408225E-4</v>
      </c>
      <c r="J26">
        <v>1.4257303752827043E-4</v>
      </c>
      <c r="K26">
        <v>1.0903687405521687E-4</v>
      </c>
      <c r="L26">
        <v>4.3008552664827021E-5</v>
      </c>
      <c r="M26">
        <v>1.3988505826627502E-4</v>
      </c>
      <c r="N26">
        <v>-6.7616915027152733E-5</v>
      </c>
      <c r="O26">
        <v>-1.624507531684933E-4</v>
      </c>
      <c r="P26">
        <v>-3.3265604737786351E-5</v>
      </c>
      <c r="Q26">
        <v>-1.104582948981032E-4</v>
      </c>
      <c r="R26">
        <v>4.7969192084206777E-5</v>
      </c>
      <c r="S26">
        <v>-7.0291530293906329E-5</v>
      </c>
      <c r="T26">
        <v>7.0988986393154133E-5</v>
      </c>
      <c r="U26">
        <v>1.912795292793896E-3</v>
      </c>
      <c r="V26">
        <v>1.8547431115489821E-3</v>
      </c>
      <c r="W26">
        <v>1.9050410418377075E-3</v>
      </c>
      <c r="X26">
        <v>1.8529140743705269E-3</v>
      </c>
      <c r="Y26">
        <v>1.8369250440353826E-3</v>
      </c>
      <c r="Z26">
        <v>2.0844540782809663E-3</v>
      </c>
      <c r="AA26">
        <v>2.9556717373847041E-3</v>
      </c>
      <c r="AB26">
        <v>1.9415041072444105E-3</v>
      </c>
      <c r="AC26">
        <v>1.9284005631256468E-3</v>
      </c>
      <c r="AD26">
        <v>1.8781895595058886E-3</v>
      </c>
      <c r="AE26">
        <v>1.916853063242227E-3</v>
      </c>
      <c r="AF26">
        <v>-7.1064037082577212E-5</v>
      </c>
      <c r="AG26">
        <v>-2.5048121641180329E-4</v>
      </c>
      <c r="AH26">
        <v>-1.1899993288583591E-4</v>
      </c>
      <c r="AI26">
        <v>4.622755930847283E-4</v>
      </c>
      <c r="AJ26">
        <v>1.4471396875052151E-3</v>
      </c>
      <c r="AK26">
        <v>1.1588471591380423E-3</v>
      </c>
      <c r="AL26">
        <v>1.1646950095624917E-3</v>
      </c>
    </row>
    <row r="27" spans="1:38" x14ac:dyDescent="0.2">
      <c r="A27" t="s">
        <v>65</v>
      </c>
      <c r="B27">
        <v>6.3273413479129334E-2</v>
      </c>
      <c r="C27">
        <v>2.4187105804528088E-4</v>
      </c>
      <c r="D27">
        <v>1.6588269486408154E-4</v>
      </c>
      <c r="E27">
        <v>-2.5452449907154385E-6</v>
      </c>
      <c r="F27">
        <v>3.469416830102173E-6</v>
      </c>
      <c r="G27">
        <v>-3.6845379686415348E-6</v>
      </c>
      <c r="H27">
        <v>-1.7790452162926219E-6</v>
      </c>
      <c r="I27">
        <v>1.5704120578152552E-4</v>
      </c>
      <c r="J27">
        <v>-7.3443682259383505E-5</v>
      </c>
      <c r="K27">
        <v>6.9897023413304144E-5</v>
      </c>
      <c r="L27">
        <v>4.7475844356725816E-5</v>
      </c>
      <c r="M27">
        <v>1.5554595827289093E-4</v>
      </c>
      <c r="N27">
        <v>-8.7069862596883573E-5</v>
      </c>
      <c r="O27">
        <v>-1.4976798280946061E-4</v>
      </c>
      <c r="P27">
        <v>-2.4569788062412969E-5</v>
      </c>
      <c r="Q27">
        <v>-8.1067532035115333E-5</v>
      </c>
      <c r="R27">
        <v>2.0513423056947279E-4</v>
      </c>
      <c r="S27">
        <v>-7.0664859773725535E-5</v>
      </c>
      <c r="T27">
        <v>1.2793728228741431E-4</v>
      </c>
      <c r="U27">
        <v>1.967264050686892E-3</v>
      </c>
      <c r="V27">
        <v>1.9142122248394489E-3</v>
      </c>
      <c r="W27">
        <v>1.9834305206509056E-3</v>
      </c>
      <c r="X27">
        <v>1.8988313543409519E-3</v>
      </c>
      <c r="Y27">
        <v>1.8822998102729143E-3</v>
      </c>
      <c r="Z27">
        <v>2.2759411718895574E-3</v>
      </c>
      <c r="AA27">
        <v>1.9415041072444105E-3</v>
      </c>
      <c r="AB27">
        <v>3.3777615558874549E-3</v>
      </c>
      <c r="AC27">
        <v>2.0056866724088786E-3</v>
      </c>
      <c r="AD27">
        <v>1.9660620714253133E-3</v>
      </c>
      <c r="AE27">
        <v>1.9763850615715046E-3</v>
      </c>
      <c r="AF27">
        <v>-7.9894829983063524E-5</v>
      </c>
      <c r="AG27">
        <v>-1.6345267800116099E-4</v>
      </c>
      <c r="AH27">
        <v>-6.1487889352208349E-5</v>
      </c>
      <c r="AI27">
        <v>6.327259074086879E-4</v>
      </c>
      <c r="AJ27">
        <v>1.1801612215001655E-3</v>
      </c>
      <c r="AK27">
        <v>1.8330580500524676E-3</v>
      </c>
      <c r="AL27">
        <v>8.0674880422724419E-4</v>
      </c>
    </row>
    <row r="28" spans="1:38" x14ac:dyDescent="0.2">
      <c r="A28" t="s">
        <v>66</v>
      </c>
      <c r="B28">
        <v>7.7412486000979178E-2</v>
      </c>
      <c r="C28">
        <v>5.0489051232816039E-4</v>
      </c>
      <c r="D28">
        <v>1.9472739121073547E-4</v>
      </c>
      <c r="E28">
        <v>-2.9240620657251699E-6</v>
      </c>
      <c r="F28">
        <v>4.6442823837224826E-6</v>
      </c>
      <c r="G28">
        <v>-7.5229560360237169E-6</v>
      </c>
      <c r="H28">
        <v>7.732346975928806E-5</v>
      </c>
      <c r="I28">
        <v>2.1483790110557379E-4</v>
      </c>
      <c r="J28">
        <v>-2.9166135258044165E-4</v>
      </c>
      <c r="K28">
        <v>4.8351911503920545E-5</v>
      </c>
      <c r="L28">
        <v>2.5612766105230814E-4</v>
      </c>
      <c r="M28">
        <v>2.1232101009288336E-4</v>
      </c>
      <c r="N28">
        <v>-3.3623293024817613E-5</v>
      </c>
      <c r="O28">
        <v>-9.1021842269327114E-5</v>
      </c>
      <c r="P28">
        <v>-1.1896915164282584E-4</v>
      </c>
      <c r="Q28">
        <v>-1.0003898035512845E-4</v>
      </c>
      <c r="R28">
        <v>3.284185756094835E-4</v>
      </c>
      <c r="S28">
        <v>-1.0260146132290903E-4</v>
      </c>
      <c r="T28">
        <v>5.6903460382430712E-5</v>
      </c>
      <c r="U28">
        <v>1.9459654629032539E-3</v>
      </c>
      <c r="V28">
        <v>1.8925716503594219E-3</v>
      </c>
      <c r="W28">
        <v>1.9719113567190309E-3</v>
      </c>
      <c r="X28">
        <v>1.896946618750383E-3</v>
      </c>
      <c r="Y28">
        <v>1.8685294126952552E-3</v>
      </c>
      <c r="Z28">
        <v>2.1764611310518042E-3</v>
      </c>
      <c r="AA28">
        <v>1.9284005631256468E-3</v>
      </c>
      <c r="AB28">
        <v>2.0056866724088786E-3</v>
      </c>
      <c r="AC28">
        <v>4.1672777547806239E-3</v>
      </c>
      <c r="AD28">
        <v>1.9309088483252196E-3</v>
      </c>
      <c r="AE28">
        <v>1.9658137050090905E-3</v>
      </c>
      <c r="AF28">
        <v>-1.0926276719767014E-4</v>
      </c>
      <c r="AG28">
        <v>-2.5608749388359798E-4</v>
      </c>
      <c r="AH28">
        <v>-2.2270299430308732E-4</v>
      </c>
      <c r="AI28">
        <v>5.9088218376391504E-4</v>
      </c>
      <c r="AJ28">
        <v>1.1478843812285839E-3</v>
      </c>
      <c r="AK28">
        <v>1.4938340494617753E-3</v>
      </c>
      <c r="AL28">
        <v>2.6424958797788955E-3</v>
      </c>
    </row>
    <row r="29" spans="1:38" x14ac:dyDescent="0.2">
      <c r="A29" t="s">
        <v>67</v>
      </c>
      <c r="B29">
        <v>-8.8653062691023254E-3</v>
      </c>
      <c r="C29">
        <v>-1.5306899027832898E-4</v>
      </c>
      <c r="D29">
        <v>1.4295161164169952E-4</v>
      </c>
      <c r="E29">
        <v>-2.3713942299986163E-6</v>
      </c>
      <c r="F29">
        <v>-1.8014601718396664E-6</v>
      </c>
      <c r="G29">
        <v>-5.2673926168255624E-6</v>
      </c>
      <c r="H29">
        <v>-7.5539575584244122E-4</v>
      </c>
      <c r="I29">
        <v>7.1916467808292889E-4</v>
      </c>
      <c r="J29">
        <v>1.929046550001304E-4</v>
      </c>
      <c r="K29">
        <v>-9.021305577256968E-5</v>
      </c>
      <c r="L29">
        <v>-5.8992872018659383E-5</v>
      </c>
      <c r="M29">
        <v>1.9679202569056144E-4</v>
      </c>
      <c r="N29">
        <v>-8.0590389062734462E-5</v>
      </c>
      <c r="O29">
        <v>-6.813341992730943E-5</v>
      </c>
      <c r="P29">
        <v>-1.0895520225444251E-4</v>
      </c>
      <c r="Q29">
        <v>-1.2657168058127788E-4</v>
      </c>
      <c r="R29">
        <v>3.7555622515827747E-5</v>
      </c>
      <c r="S29">
        <v>-9.2692278011749811E-5</v>
      </c>
      <c r="T29">
        <v>1.2808155560715189E-4</v>
      </c>
      <c r="U29">
        <v>1.9234477107744766E-3</v>
      </c>
      <c r="V29">
        <v>1.859179841578501E-3</v>
      </c>
      <c r="W29">
        <v>1.9119262111984207E-3</v>
      </c>
      <c r="X29">
        <v>1.8376639034045792E-3</v>
      </c>
      <c r="Y29">
        <v>1.823432850529258E-3</v>
      </c>
      <c r="Z29">
        <v>2.0787378323642199E-3</v>
      </c>
      <c r="AA29">
        <v>1.8781895595058886E-3</v>
      </c>
      <c r="AB29">
        <v>1.9660620714253133E-3</v>
      </c>
      <c r="AC29">
        <v>1.9309088483252196E-3</v>
      </c>
      <c r="AD29">
        <v>3.9179172342092257E-3</v>
      </c>
      <c r="AE29">
        <v>1.9301671011831536E-3</v>
      </c>
      <c r="AF29">
        <v>-9.2239920700476737E-5</v>
      </c>
      <c r="AG29">
        <v>-2.6929332818242295E-4</v>
      </c>
      <c r="AH29">
        <v>-8.476599841692866E-5</v>
      </c>
      <c r="AI29">
        <v>5.6571544129724988E-4</v>
      </c>
      <c r="AJ29">
        <v>1.2005659026965967E-3</v>
      </c>
      <c r="AK29">
        <v>1.9804503616007449E-3</v>
      </c>
      <c r="AL29">
        <v>3.3377622952937749E-3</v>
      </c>
    </row>
    <row r="30" spans="1:38" x14ac:dyDescent="0.2">
      <c r="A30" t="s">
        <v>68</v>
      </c>
      <c r="B30">
        <v>0.17022736059974367</v>
      </c>
      <c r="C30">
        <v>2.7013316346486543E-4</v>
      </c>
      <c r="D30">
        <v>1.4514729913945191E-4</v>
      </c>
      <c r="E30">
        <v>-2.2500566971706337E-6</v>
      </c>
      <c r="F30">
        <v>1.4908629322377657E-6</v>
      </c>
      <c r="G30">
        <v>-3.6880853750586828E-6</v>
      </c>
      <c r="H30">
        <v>-1.3285985941549426E-4</v>
      </c>
      <c r="I30">
        <v>7.7924201770455861E-5</v>
      </c>
      <c r="J30">
        <v>-1.1321760410935953E-4</v>
      </c>
      <c r="K30">
        <v>2.3199438151691497E-4</v>
      </c>
      <c r="L30">
        <v>1.3222417462586847E-4</v>
      </c>
      <c r="M30">
        <v>2.0517669905663826E-4</v>
      </c>
      <c r="N30">
        <v>6.8534125630500447E-5</v>
      </c>
      <c r="O30">
        <v>-1.9539853167959694E-4</v>
      </c>
      <c r="P30">
        <v>-6.2830049325270559E-5</v>
      </c>
      <c r="Q30">
        <v>-2.3614508635891638E-4</v>
      </c>
      <c r="R30">
        <v>8.748847568642356E-5</v>
      </c>
      <c r="S30">
        <v>-5.247179388989491E-5</v>
      </c>
      <c r="T30">
        <v>1.6609261590552738E-4</v>
      </c>
      <c r="U30">
        <v>1.9343044580812149E-3</v>
      </c>
      <c r="V30">
        <v>1.8862661205086733E-3</v>
      </c>
      <c r="W30">
        <v>1.9247589717999031E-3</v>
      </c>
      <c r="X30">
        <v>1.8871044816416663E-3</v>
      </c>
      <c r="Y30">
        <v>1.8609015339981203E-3</v>
      </c>
      <c r="Z30">
        <v>2.0937782408174512E-3</v>
      </c>
      <c r="AA30">
        <v>1.916853063242227E-3</v>
      </c>
      <c r="AB30">
        <v>1.9763850615715046E-3</v>
      </c>
      <c r="AC30">
        <v>1.9658137050090905E-3</v>
      </c>
      <c r="AD30">
        <v>1.9301671011831536E-3</v>
      </c>
      <c r="AE30">
        <v>3.9548406648221403E-3</v>
      </c>
      <c r="AF30">
        <v>-6.654747983272741E-5</v>
      </c>
      <c r="AG30">
        <v>-1.0460881960008036E-4</v>
      </c>
      <c r="AH30">
        <v>-1.3420390396492055E-4</v>
      </c>
      <c r="AI30">
        <v>6.2292543724743192E-4</v>
      </c>
      <c r="AJ30">
        <v>1.3163944594206949E-3</v>
      </c>
      <c r="AK30">
        <v>1.1660896323616608E-3</v>
      </c>
      <c r="AL30">
        <v>7.9155981832423981E-5</v>
      </c>
    </row>
    <row r="31" spans="1:38" x14ac:dyDescent="0.2">
      <c r="A31" t="s">
        <v>77</v>
      </c>
      <c r="B31">
        <v>-1.791512003178224E-2</v>
      </c>
      <c r="C31">
        <v>-7.8786167833850537E-5</v>
      </c>
      <c r="D31">
        <v>-7.56302292125289E-6</v>
      </c>
      <c r="E31">
        <v>1.2049351089588824E-7</v>
      </c>
      <c r="F31">
        <v>-5.7593407553714627E-7</v>
      </c>
      <c r="G31">
        <v>1.4605478834024842E-6</v>
      </c>
      <c r="H31">
        <v>2.6982426093706637E-5</v>
      </c>
      <c r="I31">
        <v>-2.4816777708662356E-5</v>
      </c>
      <c r="J31">
        <v>8.0922425879660377E-5</v>
      </c>
      <c r="K31">
        <v>-3.649893703404745E-5</v>
      </c>
      <c r="L31">
        <v>-5.0776866518007389E-5</v>
      </c>
      <c r="M31">
        <v>-4.9021864001511941E-5</v>
      </c>
      <c r="N31">
        <v>4.5884060363310199E-6</v>
      </c>
      <c r="O31">
        <v>1.7860125300843399E-5</v>
      </c>
      <c r="P31">
        <v>2.6914162160587055E-5</v>
      </c>
      <c r="Q31">
        <v>5.9550340722653824E-5</v>
      </c>
      <c r="R31">
        <v>-3.1293185513626155E-5</v>
      </c>
      <c r="S31">
        <v>1.4427981051894279E-4</v>
      </c>
      <c r="T31">
        <v>-1.069406068963177E-5</v>
      </c>
      <c r="U31">
        <v>-6.9094747112181216E-5</v>
      </c>
      <c r="V31">
        <v>-8.1414709880193694E-5</v>
      </c>
      <c r="W31">
        <v>-7.3788602868653645E-5</v>
      </c>
      <c r="X31">
        <v>-6.0230969855493805E-5</v>
      </c>
      <c r="Y31">
        <v>-5.8479465151153238E-5</v>
      </c>
      <c r="Z31">
        <v>-1.4408431904570646E-4</v>
      </c>
      <c r="AA31">
        <v>-7.1064037082577212E-5</v>
      </c>
      <c r="AB31">
        <v>-7.9894829983063524E-5</v>
      </c>
      <c r="AC31">
        <v>-1.0926276719767014E-4</v>
      </c>
      <c r="AD31">
        <v>-9.2239920700476737E-5</v>
      </c>
      <c r="AE31">
        <v>-6.654747983272741E-5</v>
      </c>
      <c r="AF31">
        <v>1.7232197405195435E-4</v>
      </c>
      <c r="AG31">
        <v>1.8954699612717604E-4</v>
      </c>
      <c r="AH31">
        <v>-8.2502075848269428E-5</v>
      </c>
      <c r="AI31">
        <v>-1.8472011656115589E-5</v>
      </c>
      <c r="AJ31">
        <v>-3.8992729582474142E-5</v>
      </c>
      <c r="AK31">
        <v>-2.5180507306524907E-4</v>
      </c>
      <c r="AL31">
        <v>-1.1160671010331719E-2</v>
      </c>
    </row>
    <row r="32" spans="1:38" x14ac:dyDescent="0.2">
      <c r="A32" t="s">
        <v>69</v>
      </c>
      <c r="B32">
        <v>1.6003367649744461E-2</v>
      </c>
      <c r="C32">
        <v>-5.7531693783287492E-4</v>
      </c>
      <c r="D32">
        <v>-2.6537146479572483E-5</v>
      </c>
      <c r="E32">
        <v>4.0155626947451227E-7</v>
      </c>
      <c r="F32">
        <v>-3.7426835891981924E-6</v>
      </c>
      <c r="G32">
        <v>6.2259686470278653E-6</v>
      </c>
      <c r="H32">
        <v>-1.6929237222918203E-5</v>
      </c>
      <c r="I32">
        <v>-3.2987204953516995E-4</v>
      </c>
      <c r="J32">
        <v>6.1298317654607604E-4</v>
      </c>
      <c r="K32">
        <v>-1.8475101305817144E-5</v>
      </c>
      <c r="L32">
        <v>-1.3007171642184659E-4</v>
      </c>
      <c r="M32">
        <v>-3.4537691236294701E-4</v>
      </c>
      <c r="N32">
        <v>-9.8140343837553731E-5</v>
      </c>
      <c r="O32">
        <v>-5.1172471083111583E-5</v>
      </c>
      <c r="P32">
        <v>7.3090305524119533E-5</v>
      </c>
      <c r="Q32">
        <v>4.123373150175983E-5</v>
      </c>
      <c r="R32">
        <v>-1.6126023072227601E-4</v>
      </c>
      <c r="S32">
        <v>2.3991112119895949E-4</v>
      </c>
      <c r="T32">
        <v>4.1218898197605686E-6</v>
      </c>
      <c r="U32">
        <v>-2.800541060387512E-5</v>
      </c>
      <c r="V32">
        <v>-1.5782093667063616E-4</v>
      </c>
      <c r="W32">
        <v>-1.4837569300896051E-4</v>
      </c>
      <c r="X32">
        <v>-1.4933057935808671E-5</v>
      </c>
      <c r="Y32">
        <v>2.2584090247459543E-5</v>
      </c>
      <c r="Z32">
        <v>-7.3929879812733115E-4</v>
      </c>
      <c r="AA32">
        <v>-2.5048121641180329E-4</v>
      </c>
      <c r="AB32">
        <v>-1.6345267800116099E-4</v>
      </c>
      <c r="AC32">
        <v>-2.5608749388359798E-4</v>
      </c>
      <c r="AD32">
        <v>-2.6929332818242295E-4</v>
      </c>
      <c r="AE32">
        <v>-1.0460881960008036E-4</v>
      </c>
      <c r="AF32">
        <v>1.8954699612717604E-4</v>
      </c>
      <c r="AG32">
        <v>3.3561998532487015E-3</v>
      </c>
      <c r="AH32">
        <v>6.4166493794026204E-4</v>
      </c>
      <c r="AI32">
        <v>4.0244340169116009E-5</v>
      </c>
      <c r="AJ32">
        <v>-2.4277971773841583E-5</v>
      </c>
      <c r="AK32">
        <v>-1.6560235428408898E-3</v>
      </c>
      <c r="AL32">
        <v>-1.664202325557082E-2</v>
      </c>
    </row>
    <row r="33" spans="1:38" x14ac:dyDescent="0.2">
      <c r="A33" t="s">
        <v>70</v>
      </c>
      <c r="B33">
        <v>5.1664386645568244E-2</v>
      </c>
      <c r="C33">
        <v>-2.9971967865791236E-4</v>
      </c>
      <c r="D33">
        <v>-5.5018858766613804E-5</v>
      </c>
      <c r="E33">
        <v>8.6914154417948184E-7</v>
      </c>
      <c r="F33">
        <v>1.0272851738511629E-6</v>
      </c>
      <c r="G33">
        <v>7.7950723154255991E-6</v>
      </c>
      <c r="H33">
        <v>1.49165522473258E-4</v>
      </c>
      <c r="I33">
        <v>-4.4900559712765325E-4</v>
      </c>
      <c r="J33">
        <v>1.9641808547011733E-4</v>
      </c>
      <c r="K33">
        <v>6.1964233863514889E-5</v>
      </c>
      <c r="L33">
        <v>-9.7687323686359239E-5</v>
      </c>
      <c r="M33">
        <v>-3.1356053569504263E-4</v>
      </c>
      <c r="N33">
        <v>-1.8765639706114538E-4</v>
      </c>
      <c r="O33">
        <v>-2.2621205408135446E-5</v>
      </c>
      <c r="P33">
        <v>6.7007874260891387E-5</v>
      </c>
      <c r="Q33">
        <v>-4.5066907372377584E-5</v>
      </c>
      <c r="R33">
        <v>-1.4607868310096154E-4</v>
      </c>
      <c r="S33">
        <v>3.0318174977662232E-6</v>
      </c>
      <c r="T33">
        <v>-8.0479016927479654E-5</v>
      </c>
      <c r="U33">
        <v>2.0423697293106579E-4</v>
      </c>
      <c r="V33">
        <v>1.328343357181967E-5</v>
      </c>
      <c r="W33">
        <v>-1.4209814536660597E-4</v>
      </c>
      <c r="X33">
        <v>5.1566806203337068E-5</v>
      </c>
      <c r="Y33">
        <v>-7.8491701891405814E-5</v>
      </c>
      <c r="Z33">
        <v>-6.3263093883486013E-4</v>
      </c>
      <c r="AA33">
        <v>-1.1899993288583591E-4</v>
      </c>
      <c r="AB33">
        <v>-6.1487889352208349E-5</v>
      </c>
      <c r="AC33">
        <v>-2.2270299430308732E-4</v>
      </c>
      <c r="AD33">
        <v>-8.476599841692866E-5</v>
      </c>
      <c r="AE33">
        <v>-1.3420390396492055E-4</v>
      </c>
      <c r="AF33">
        <v>-8.2502075848269428E-5</v>
      </c>
      <c r="AG33">
        <v>6.4166493794026204E-4</v>
      </c>
      <c r="AH33">
        <v>3.5920861098678565E-3</v>
      </c>
      <c r="AI33">
        <v>5.31287541783226E-5</v>
      </c>
      <c r="AJ33">
        <v>-4.7440904431339873E-6</v>
      </c>
      <c r="AK33">
        <v>-1.6256576694089822E-3</v>
      </c>
      <c r="AL33">
        <v>1.7974060955813012E-3</v>
      </c>
    </row>
    <row r="34" spans="1:38" x14ac:dyDescent="0.2">
      <c r="A34" t="s">
        <v>71</v>
      </c>
      <c r="B34">
        <v>-8.8911268083306141E-2</v>
      </c>
      <c r="C34">
        <v>-5.652680391550393E-5</v>
      </c>
      <c r="D34">
        <v>5.1065744378084657E-6</v>
      </c>
      <c r="E34">
        <v>-1.3338421361012596E-7</v>
      </c>
      <c r="F34">
        <v>1.5691615755791336E-6</v>
      </c>
      <c r="G34">
        <v>-6.773704474306016E-7</v>
      </c>
      <c r="H34">
        <v>-7.896401514970858E-5</v>
      </c>
      <c r="I34">
        <v>7.0945308717769223E-5</v>
      </c>
      <c r="J34">
        <v>-2.6688485360133187E-4</v>
      </c>
      <c r="K34">
        <v>-1.7988181928324374E-4</v>
      </c>
      <c r="L34">
        <v>-1.7376644155001606E-4</v>
      </c>
      <c r="M34">
        <v>-7.2145239984655433E-5</v>
      </c>
      <c r="N34">
        <v>-1.5072067519570492E-4</v>
      </c>
      <c r="O34">
        <v>-1.1815262586697151E-4</v>
      </c>
      <c r="P34">
        <v>8.2514014695242639E-5</v>
      </c>
      <c r="Q34">
        <v>-1.9753055342053782E-4</v>
      </c>
      <c r="R34">
        <v>-8.2136315290901583E-5</v>
      </c>
      <c r="S34">
        <v>-1.3490536425988381E-5</v>
      </c>
      <c r="T34">
        <v>-1.2194659644551445E-4</v>
      </c>
      <c r="U34">
        <v>5.9224413869626673E-4</v>
      </c>
      <c r="V34">
        <v>4.8585264649225334E-4</v>
      </c>
      <c r="W34">
        <v>6.2447968276697083E-4</v>
      </c>
      <c r="X34">
        <v>4.8792132441952948E-4</v>
      </c>
      <c r="Y34">
        <v>3.9237678988009872E-4</v>
      </c>
      <c r="Z34">
        <v>5.4771532522141344E-4</v>
      </c>
      <c r="AA34">
        <v>4.622755930847283E-4</v>
      </c>
      <c r="AB34">
        <v>6.327259074086879E-4</v>
      </c>
      <c r="AC34">
        <v>5.9088218376391504E-4</v>
      </c>
      <c r="AD34">
        <v>5.6571544129724988E-4</v>
      </c>
      <c r="AE34">
        <v>6.2292543724743192E-4</v>
      </c>
      <c r="AF34">
        <v>-1.8472011656115589E-5</v>
      </c>
      <c r="AG34">
        <v>4.0244340169116009E-5</v>
      </c>
      <c r="AH34">
        <v>5.31287541783226E-5</v>
      </c>
      <c r="AI34">
        <v>2.0075329663204783E-3</v>
      </c>
      <c r="AJ34">
        <v>4.7197478083274574E-4</v>
      </c>
      <c r="AK34">
        <v>6.5414291159683526E-4</v>
      </c>
      <c r="AL34">
        <v>6.3257041925911424E-4</v>
      </c>
    </row>
    <row r="35" spans="1:38" x14ac:dyDescent="0.2">
      <c r="A35" t="s">
        <v>72</v>
      </c>
      <c r="B35">
        <v>0.2404544031560685</v>
      </c>
      <c r="C35">
        <v>-5.8324750785453952E-4</v>
      </c>
      <c r="D35">
        <v>1.8028906569158079E-5</v>
      </c>
      <c r="E35">
        <v>-5.2044630711463286E-7</v>
      </c>
      <c r="F35">
        <v>1.5085316360954403E-6</v>
      </c>
      <c r="G35">
        <v>1.1410059634496249E-6</v>
      </c>
      <c r="H35">
        <v>-3.1903731942996576E-4</v>
      </c>
      <c r="I35">
        <v>-2.4893662899198551E-4</v>
      </c>
      <c r="J35">
        <v>5.0394462782265409E-4</v>
      </c>
      <c r="K35">
        <v>1.8855087991724335E-4</v>
      </c>
      <c r="L35">
        <v>5.2640332745617529E-5</v>
      </c>
      <c r="M35">
        <v>1.1089309233427985E-4</v>
      </c>
      <c r="N35">
        <v>-6.1731432260778369E-5</v>
      </c>
      <c r="O35">
        <v>-2.008529690260274E-4</v>
      </c>
      <c r="P35">
        <v>3.3927801326661394E-5</v>
      </c>
      <c r="Q35">
        <v>-1.673118952549356E-4</v>
      </c>
      <c r="R35">
        <v>5.6853497491108306E-5</v>
      </c>
      <c r="S35">
        <v>-4.166738257455364E-5</v>
      </c>
      <c r="T35">
        <v>5.6130485394423487E-5</v>
      </c>
      <c r="U35">
        <v>1.2144513629366524E-3</v>
      </c>
      <c r="V35">
        <v>1.0697430335632014E-3</v>
      </c>
      <c r="W35">
        <v>1.1006478529723179E-3</v>
      </c>
      <c r="X35">
        <v>1.0984911221362502E-3</v>
      </c>
      <c r="Y35">
        <v>1.0532951890321633E-3</v>
      </c>
      <c r="Z35">
        <v>8.0382141040420099E-4</v>
      </c>
      <c r="AA35">
        <v>1.4471396875052151E-3</v>
      </c>
      <c r="AB35">
        <v>1.1801612215001655E-3</v>
      </c>
      <c r="AC35">
        <v>1.1478843812285839E-3</v>
      </c>
      <c r="AD35">
        <v>1.2005659026965967E-3</v>
      </c>
      <c r="AE35">
        <v>1.3163944594206949E-3</v>
      </c>
      <c r="AF35">
        <v>-3.8992729582474142E-5</v>
      </c>
      <c r="AG35">
        <v>-2.4277971773841583E-5</v>
      </c>
      <c r="AH35">
        <v>-4.7440904431339873E-6</v>
      </c>
      <c r="AI35">
        <v>4.7197478083274574E-4</v>
      </c>
      <c r="AJ35">
        <v>6.1020127740239937E-3</v>
      </c>
      <c r="AK35">
        <v>1.220315591753604E-4</v>
      </c>
      <c r="AL35">
        <v>1.9590016785516751E-3</v>
      </c>
    </row>
    <row r="36" spans="1:38" x14ac:dyDescent="0.2">
      <c r="A36" t="s">
        <v>73</v>
      </c>
      <c r="B36">
        <v>2.8876497907552125E-2</v>
      </c>
      <c r="C36">
        <v>1.2766839756755237E-3</v>
      </c>
      <c r="D36">
        <v>2.865514005017597E-4</v>
      </c>
      <c r="E36">
        <v>-4.6057223438055665E-6</v>
      </c>
      <c r="F36">
        <v>1.7675754068946156E-5</v>
      </c>
      <c r="G36">
        <v>-3.0767736225818495E-5</v>
      </c>
      <c r="H36">
        <v>3.8975016598094461E-4</v>
      </c>
      <c r="I36">
        <v>1.7561149839221031E-3</v>
      </c>
      <c r="J36">
        <v>-1.7520966706413526E-3</v>
      </c>
      <c r="K36">
        <v>4.3575863269854596E-4</v>
      </c>
      <c r="L36">
        <v>1.052518297543212E-3</v>
      </c>
      <c r="M36">
        <v>3.083552768238876E-3</v>
      </c>
      <c r="N36">
        <v>7.289240914948817E-4</v>
      </c>
      <c r="O36">
        <v>-3.8619813065707796E-5</v>
      </c>
      <c r="P36">
        <v>-1.540537768883164E-4</v>
      </c>
      <c r="Q36">
        <v>4.0364711340727449E-4</v>
      </c>
      <c r="R36">
        <v>1.2600189609595931E-3</v>
      </c>
      <c r="S36">
        <v>-3.6338975652421696E-4</v>
      </c>
      <c r="T36">
        <v>1.4620496653568356E-4</v>
      </c>
      <c r="U36">
        <v>1.8557043096712076E-3</v>
      </c>
      <c r="V36">
        <v>1.3332469138491758E-3</v>
      </c>
      <c r="W36">
        <v>1.8522942790446585E-3</v>
      </c>
      <c r="X36">
        <v>1.0068176402697609E-3</v>
      </c>
      <c r="Y36">
        <v>1.2138140024918758E-3</v>
      </c>
      <c r="Z36">
        <v>5.3073350236214987E-3</v>
      </c>
      <c r="AA36">
        <v>1.1588471591380423E-3</v>
      </c>
      <c r="AB36">
        <v>1.8330580500524676E-3</v>
      </c>
      <c r="AC36">
        <v>1.4938340494617753E-3</v>
      </c>
      <c r="AD36">
        <v>1.9804503616007449E-3</v>
      </c>
      <c r="AE36">
        <v>1.1660896323616608E-3</v>
      </c>
      <c r="AF36">
        <v>-2.5180507306524907E-4</v>
      </c>
      <c r="AG36">
        <v>-1.6560235428408898E-3</v>
      </c>
      <c r="AH36">
        <v>-1.6256576694089822E-3</v>
      </c>
      <c r="AI36">
        <v>6.5414291159683526E-4</v>
      </c>
      <c r="AJ36">
        <v>1.220315591753604E-4</v>
      </c>
      <c r="AK36">
        <v>1.9679599472966124E-2</v>
      </c>
      <c r="AL36">
        <v>1.7623683104807324E-2</v>
      </c>
    </row>
    <row r="37" spans="1:38" x14ac:dyDescent="0.2">
      <c r="A37" t="s">
        <v>34</v>
      </c>
      <c r="B37">
        <v>-5.2549662451763979</v>
      </c>
      <c r="C37">
        <v>5.1150678178404213E-3</v>
      </c>
      <c r="D37">
        <v>-4.1887917459276849E-3</v>
      </c>
      <c r="E37">
        <v>6.0416784282312744E-5</v>
      </c>
      <c r="F37">
        <v>-5.8295662480047636E-5</v>
      </c>
      <c r="G37">
        <v>-1.9155574543252437E-4</v>
      </c>
      <c r="H37">
        <v>-4.9979091070046656E-3</v>
      </c>
      <c r="I37">
        <v>2.6945097980674293E-3</v>
      </c>
      <c r="J37">
        <v>-1.2132987121470247E-2</v>
      </c>
      <c r="K37">
        <v>1.181021398127916E-3</v>
      </c>
      <c r="L37">
        <v>2.8666716242164037E-3</v>
      </c>
      <c r="M37">
        <v>4.0992740004984918E-3</v>
      </c>
      <c r="N37">
        <v>9.0945056340335784E-4</v>
      </c>
      <c r="O37">
        <v>4.3470608544697587E-5</v>
      </c>
      <c r="P37">
        <v>-9.4907875100946014E-4</v>
      </c>
      <c r="Q37">
        <v>-3.2877227298290321E-3</v>
      </c>
      <c r="R37">
        <v>2.0326671694665009E-3</v>
      </c>
      <c r="S37">
        <v>-9.9010743776852192E-3</v>
      </c>
      <c r="T37">
        <v>-9.7122339958913631E-4</v>
      </c>
      <c r="U37">
        <v>1.5986915576964179E-3</v>
      </c>
      <c r="V37">
        <v>2.0554803050226098E-3</v>
      </c>
      <c r="W37">
        <v>8.3708268416976626E-4</v>
      </c>
      <c r="X37">
        <v>-3.5028013161433023E-4</v>
      </c>
      <c r="Y37">
        <v>-8.3420667951310907E-4</v>
      </c>
      <c r="Z37">
        <v>6.2611633868852228E-3</v>
      </c>
      <c r="AA37">
        <v>1.1646950095624917E-3</v>
      </c>
      <c r="AB37">
        <v>8.0674880422724419E-4</v>
      </c>
      <c r="AC37">
        <v>2.6424958797788955E-3</v>
      </c>
      <c r="AD37">
        <v>3.3377622952937749E-3</v>
      </c>
      <c r="AE37">
        <v>7.9155981832423981E-5</v>
      </c>
      <c r="AF37">
        <v>-1.1160671010331719E-2</v>
      </c>
      <c r="AG37">
        <v>-1.664202325557082E-2</v>
      </c>
      <c r="AH37">
        <v>1.7974060955813012E-3</v>
      </c>
      <c r="AI37">
        <v>6.3257041925911424E-4</v>
      </c>
      <c r="AJ37">
        <v>1.9590016785516751E-3</v>
      </c>
      <c r="AK37">
        <v>1.7623683104807324E-2</v>
      </c>
      <c r="AL37">
        <v>0.84587038546236482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F1_comp</vt:lpstr>
      <vt:lpstr>Info</vt:lpstr>
      <vt:lpstr>Gof</vt:lpstr>
      <vt:lpstr>F1_orig</vt:lpstr>
      <vt:lpstr>F1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Sonnewald</cp:lastModifiedBy>
  <dcterms:modified xsi:type="dcterms:W3CDTF">2026-05-29T14:23:40Z</dcterms:modified>
</cp:coreProperties>
</file>