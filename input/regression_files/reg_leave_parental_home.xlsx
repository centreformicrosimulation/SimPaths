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313DC1D8-907C-6B41-A358-6806E821A5D6}" xr6:coauthVersionLast="47" xr6:coauthVersionMax="47" xr10:uidLastSave="{00000000-0000-0000-0000-000000000000}"/>
  <bookViews>
    <workbookView xWindow="0" yWindow="600" windowWidth="29040" windowHeight="15840" activeTab="4" xr2:uid="{00000000-000D-0000-FFFF-FFFF00000000}"/>
  </bookViews>
  <sheets>
    <sheet name="P1_comp" sheetId="5" r:id="rId1"/>
    <sheet name="Info" sheetId="1" r:id="rId2"/>
    <sheet name="Gof" sheetId="2" r:id="rId3"/>
    <sheet name="P1_orig" sheetId="3" r:id="rId4"/>
    <sheet name="P1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5" l="1"/>
  <c r="D31" i="5"/>
  <c r="B31" i="5"/>
  <c r="G31" i="5" s="1"/>
  <c r="A31" i="5"/>
  <c r="E30" i="5"/>
  <c r="D30" i="5"/>
  <c r="B30" i="5"/>
  <c r="G30" i="5" s="1"/>
  <c r="A30" i="5"/>
  <c r="E29" i="5"/>
  <c r="G29" i="5" s="1"/>
  <c r="D29" i="5"/>
  <c r="B29" i="5"/>
  <c r="A29" i="5"/>
  <c r="E28" i="5"/>
  <c r="D28" i="5"/>
  <c r="B28" i="5"/>
  <c r="G28" i="5" s="1"/>
  <c r="A28" i="5"/>
  <c r="E27" i="5"/>
  <c r="D27" i="5"/>
  <c r="B27" i="5"/>
  <c r="G27" i="5" s="1"/>
  <c r="A27" i="5"/>
  <c r="E26" i="5"/>
  <c r="D26" i="5"/>
  <c r="B26" i="5"/>
  <c r="G26" i="5" s="1"/>
  <c r="A26" i="5"/>
  <c r="G25" i="5"/>
  <c r="E25" i="5"/>
  <c r="D25" i="5"/>
  <c r="B25" i="5"/>
  <c r="A25" i="5"/>
  <c r="E24" i="5"/>
  <c r="G24" i="5" s="1"/>
  <c r="D24" i="5"/>
  <c r="B24" i="5"/>
  <c r="A24" i="5"/>
  <c r="E23" i="5"/>
  <c r="G23" i="5" s="1"/>
  <c r="D23" i="5"/>
  <c r="B23" i="5"/>
  <c r="A23" i="5"/>
  <c r="E22" i="5"/>
  <c r="D22" i="5"/>
  <c r="B22" i="5"/>
  <c r="G22" i="5" s="1"/>
  <c r="A22" i="5"/>
  <c r="E21" i="5"/>
  <c r="D21" i="5"/>
  <c r="B21" i="5"/>
  <c r="G21" i="5" s="1"/>
  <c r="A21" i="5"/>
  <c r="E20" i="5"/>
  <c r="D20" i="5"/>
  <c r="B20" i="5"/>
  <c r="G20" i="5" s="1"/>
  <c r="A20" i="5"/>
  <c r="G19" i="5"/>
  <c r="E19" i="5"/>
  <c r="D19" i="5"/>
  <c r="B19" i="5"/>
  <c r="A19" i="5"/>
  <c r="E18" i="5"/>
  <c r="G18" i="5" s="1"/>
  <c r="D18" i="5"/>
  <c r="B18" i="5"/>
  <c r="A18" i="5"/>
  <c r="E17" i="5"/>
  <c r="G17" i="5" s="1"/>
  <c r="D17" i="5"/>
  <c r="B17" i="5"/>
  <c r="A17" i="5"/>
  <c r="E16" i="5"/>
  <c r="D16" i="5"/>
  <c r="B16" i="5"/>
  <c r="G16" i="5" s="1"/>
  <c r="A16" i="5"/>
  <c r="E15" i="5"/>
  <c r="D15" i="5"/>
  <c r="B15" i="5"/>
  <c r="G15" i="5" s="1"/>
  <c r="A15" i="5"/>
  <c r="E14" i="5"/>
  <c r="D14" i="5"/>
  <c r="B14" i="5"/>
  <c r="G14" i="5" s="1"/>
  <c r="A14" i="5"/>
  <c r="G13" i="5"/>
  <c r="E13" i="5"/>
  <c r="D13" i="5"/>
  <c r="B13" i="5"/>
  <c r="A13" i="5"/>
  <c r="E12" i="5"/>
  <c r="G12" i="5" s="1"/>
  <c r="D12" i="5"/>
  <c r="B12" i="5"/>
  <c r="A12" i="5"/>
  <c r="E11" i="5"/>
  <c r="G11" i="5" s="1"/>
  <c r="D11" i="5"/>
  <c r="B11" i="5"/>
  <c r="A11" i="5"/>
  <c r="E10" i="5"/>
  <c r="D10" i="5"/>
  <c r="B10" i="5"/>
  <c r="G10" i="5" s="1"/>
  <c r="A10" i="5"/>
  <c r="E9" i="5"/>
  <c r="D9" i="5"/>
  <c r="B9" i="5"/>
  <c r="G9" i="5" s="1"/>
  <c r="A9" i="5"/>
  <c r="E8" i="5"/>
  <c r="D8" i="5"/>
  <c r="B8" i="5"/>
  <c r="G8" i="5" s="1"/>
  <c r="A8" i="5"/>
  <c r="G7" i="5"/>
  <c r="E7" i="5"/>
  <c r="D7" i="5"/>
  <c r="B7" i="5"/>
  <c r="A7" i="5"/>
  <c r="E6" i="5"/>
  <c r="G6" i="5" s="1"/>
  <c r="D6" i="5"/>
  <c r="B6" i="5"/>
  <c r="A6" i="5"/>
  <c r="E5" i="5"/>
  <c r="G5" i="5" s="1"/>
  <c r="D5" i="5"/>
  <c r="B5" i="5"/>
  <c r="A5" i="5"/>
  <c r="E4" i="5"/>
  <c r="D4" i="5"/>
  <c r="B4" i="5"/>
  <c r="G4" i="5" s="1"/>
  <c r="A4" i="5"/>
  <c r="E3" i="5"/>
  <c r="D3" i="5"/>
  <c r="B3" i="5"/>
  <c r="G3" i="5" s="1"/>
  <c r="A3" i="5"/>
  <c r="E2" i="5"/>
  <c r="D2" i="5"/>
  <c r="B2" i="5"/>
  <c r="G2" i="5" s="1"/>
  <c r="A2" i="5"/>
  <c r="E1" i="5"/>
  <c r="D1" i="5"/>
  <c r="B1" i="5"/>
  <c r="A1" i="5"/>
</calcChain>
</file>

<file path=xl/sharedStrings.xml><?xml version="1.0" encoding="utf-8"?>
<sst xmlns="http://schemas.openxmlformats.org/spreadsheetml/2006/main" count="143" uniqueCount="65">
  <si>
    <t>Description:</t>
  </si>
  <si>
    <t>Model parameters governing leaving parental home</t>
  </si>
  <si>
    <t>Authors:</t>
  </si>
  <si>
    <t>Process:</t>
  </si>
  <si>
    <t>P1a</t>
  </si>
  <si>
    <t>Prob. leave the parental home, transitioning out of adult child status</t>
  </si>
  <si>
    <t>Notes:</t>
  </si>
  <si>
    <t>Estimation sample: UK_ipop.dta with grossing up weight dwt</t>
  </si>
  <si>
    <t>Conditions for processes are defined as globals in master.do</t>
  </si>
  <si>
    <t>Goodness of fit</t>
  </si>
  <si>
    <t>REGRESSOR</t>
  </si>
  <si>
    <t>COEFFICIENT</t>
  </si>
  <si>
    <t>Dgn</t>
  </si>
  <si>
    <t>Dag</t>
  </si>
  <si>
    <t>Dag_sq</t>
  </si>
  <si>
    <t>Deh_c4_Na_L1</t>
  </si>
  <si>
    <t>Deh_c4_Medium_L1</t>
  </si>
  <si>
    <t>Deh_c4_Low_L1</t>
  </si>
  <si>
    <t>Les_c3_Student_L1</t>
  </si>
  <si>
    <t>Les_c3_NotEmployed_L1</t>
  </si>
  <si>
    <t>Ydses_c5_Q2_L1</t>
  </si>
  <si>
    <t>Ydses_c5_Q3_L1</t>
  </si>
  <si>
    <t>Ydses_c5_Q4_L1</t>
  </si>
  <si>
    <t>Ydses_c5_Q5_L1</t>
  </si>
  <si>
    <t>Year_transformed</t>
  </si>
  <si>
    <t>Y2020</t>
  </si>
  <si>
    <t>Y2021</t>
  </si>
  <si>
    <t>Constant</t>
  </si>
  <si>
    <t>P1 - Leave parental home</t>
  </si>
  <si>
    <t>Pseudo R-squared</t>
  </si>
  <si>
    <t>N</t>
  </si>
  <si>
    <t>Chi^2</t>
  </si>
  <si>
    <t>Log likelihood</t>
  </si>
  <si>
    <t>Patryk Bronka, Justin van de Ven, Daria Popova, Aleksandra Kolndrekaj, Ashley Burdett</t>
  </si>
  <si>
    <t>Last edit: 15 April 2026 (DP)</t>
  </si>
  <si>
    <t>demMaleFlag</t>
  </si>
  <si>
    <t>demAge</t>
  </si>
  <si>
    <t>demAgeSq</t>
  </si>
  <si>
    <t>eduHighestC4NaL1</t>
  </si>
  <si>
    <t>eduHighestC4MediumL1</t>
  </si>
  <si>
    <t>eduHighestC4LowL1</t>
  </si>
  <si>
    <t>labStatusC3StudentL1</t>
  </si>
  <si>
    <t>labStatusC3NotEmployedL1</t>
  </si>
  <si>
    <t>yHhQuintilesMonthC5Q2L1</t>
  </si>
  <si>
    <t>yHhQuintilesMonthC5Q3L1</t>
  </si>
  <si>
    <t>yHhQuintilesMonthC5Q4L1</t>
  </si>
  <si>
    <t>yHhQuintilesMonthC5Q5L1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</si>
  <si>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</si>
  <si>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</si>
  <si>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</si>
  <si>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</si>
  <si>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</si>
  <si>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</si>
  <si>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</si>
  <si>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</si>
  <si>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</si>
  <si>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</si>
  <si>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</si>
  <si>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demYear2020</t>
  </si>
  <si>
    <t>demYear2021</t>
  </si>
  <si>
    <t>demEthnC4Asian</t>
  </si>
  <si>
    <t>demEthnC4Black</t>
  </si>
  <si>
    <t>demEthnC4Other</t>
  </si>
  <si>
    <t>comp</t>
  </si>
  <si>
    <t>demYearTransformed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</si>
</sst>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G31"/>
  <sheetViews>
    <sheetView workbookViewId="0">
      <selection activeCell="G2" sqref="G2:G31"/>
    </sheetView>
  </sheetViews>
  <sheetFormatPr baseColWidth="10" defaultColWidth="8.83203125" defaultRowHeight="15" x14ac:dyDescent="0.2"/>
  <cols>
    <col min="1" max="1" width="32.5" customWidth="1"/>
    <col min="4" max="4" width="22.83203125" customWidth="1"/>
  </cols>
  <sheetData>
    <row r="1" spans="1:7" x14ac:dyDescent="0.2">
      <c r="A1" t="str">
        <f>'P1'!A1</f>
        <v>REGRESSOR</v>
      </c>
      <c r="B1" t="str">
        <f>'P1'!B1</f>
        <v>COEFFICIENT</v>
      </c>
      <c r="D1" t="str">
        <f>P1_orig!A1</f>
        <v>REGRESSOR</v>
      </c>
      <c r="E1" t="str">
        <f>P1_orig!B1</f>
        <v>COEFFICIENT</v>
      </c>
      <c r="G1" t="s">
        <v>63</v>
      </c>
    </row>
    <row r="2" spans="1:7" x14ac:dyDescent="0.2">
      <c r="A2" t="str">
        <f>'P1'!A2</f>
        <v>demMaleFlag</v>
      </c>
      <c r="B2">
        <f>'P1'!B2</f>
        <v>-0.20691948628767518</v>
      </c>
      <c r="D2" t="str">
        <f>P1_orig!A2</f>
        <v>Dgn</v>
      </c>
      <c r="E2">
        <f>P1_orig!B2</f>
        <v>-0.2069194862876749</v>
      </c>
      <c r="G2" s="1">
        <f>B2-E2</f>
        <v>-2.7755575615628914E-16</v>
      </c>
    </row>
    <row r="3" spans="1:7" x14ac:dyDescent="0.2">
      <c r="A3" t="str">
        <f>'P1'!A3</f>
        <v>demAge</v>
      </c>
      <c r="B3">
        <f>'P1'!B3</f>
        <v>0.19746408237471141</v>
      </c>
      <c r="D3" t="str">
        <f>P1_orig!A3</f>
        <v>Dag</v>
      </c>
      <c r="E3">
        <f>P1_orig!B3</f>
        <v>0.19746408237471036</v>
      </c>
      <c r="G3" s="1">
        <f t="shared" ref="G3:G31" si="0">B3-E3</f>
        <v>1.0547118733938987E-15</v>
      </c>
    </row>
    <row r="4" spans="1:7" x14ac:dyDescent="0.2">
      <c r="A4" t="str">
        <f>'P1'!A4</f>
        <v>demAgeSq</v>
      </c>
      <c r="B4">
        <f>'P1'!B4</f>
        <v>-2.6374910089944003E-3</v>
      </c>
      <c r="D4" t="str">
        <f>P1_orig!A4</f>
        <v>Dag_sq</v>
      </c>
      <c r="E4">
        <f>P1_orig!B4</f>
        <v>-2.6374910089943817E-3</v>
      </c>
      <c r="G4" s="1">
        <f t="shared" si="0"/>
        <v>-1.8648277366750676E-17</v>
      </c>
    </row>
    <row r="5" spans="1:7" x14ac:dyDescent="0.2">
      <c r="A5" t="str">
        <f>'P1'!A5</f>
        <v>eduHighestC4NaL1</v>
      </c>
      <c r="B5">
        <f>'P1'!B5</f>
        <v>-4.6575993899235925E-2</v>
      </c>
      <c r="D5" t="str">
        <f>P1_orig!A5</f>
        <v>Deh_c4_Na_L1</v>
      </c>
      <c r="E5">
        <f>P1_orig!B5</f>
        <v>-4.6575993899237111E-2</v>
      </c>
      <c r="G5" s="1">
        <f t="shared" si="0"/>
        <v>1.1865508575681361E-15</v>
      </c>
    </row>
    <row r="6" spans="1:7" x14ac:dyDescent="0.2">
      <c r="A6" t="str">
        <f>'P1'!A6</f>
        <v>eduHighestC4MediumL1</v>
      </c>
      <c r="B6">
        <f>'P1'!B6</f>
        <v>-0.19764507198603429</v>
      </c>
      <c r="D6" t="str">
        <f>P1_orig!A6</f>
        <v>Deh_c4_Medium_L1</v>
      </c>
      <c r="E6">
        <f>P1_orig!B6</f>
        <v>-0.19764507198603459</v>
      </c>
      <c r="G6" s="1">
        <f t="shared" si="0"/>
        <v>3.0531133177191805E-16</v>
      </c>
    </row>
    <row r="7" spans="1:7" x14ac:dyDescent="0.2">
      <c r="A7" t="str">
        <f>'P1'!A7</f>
        <v>eduHighestC4LowL1</v>
      </c>
      <c r="B7">
        <f>'P1'!B7</f>
        <v>-0.39715703200294961</v>
      </c>
      <c r="D7" t="str">
        <f>P1_orig!A7</f>
        <v>Deh_c4_Low_L1</v>
      </c>
      <c r="E7">
        <f>P1_orig!B7</f>
        <v>-0.39715703200294977</v>
      </c>
      <c r="G7" s="1">
        <f t="shared" si="0"/>
        <v>0</v>
      </c>
    </row>
    <row r="8" spans="1:7" x14ac:dyDescent="0.2">
      <c r="A8" t="str">
        <f>'P1'!A8</f>
        <v>labStatusC3StudentL1</v>
      </c>
      <c r="B8">
        <f>'P1'!B8</f>
        <v>-0.28442451085933707</v>
      </c>
      <c r="D8" t="str">
        <f>P1_orig!A8</f>
        <v>Les_c3_Student_L1</v>
      </c>
      <c r="E8">
        <f>P1_orig!B8</f>
        <v>-0.28442451085933673</v>
      </c>
      <c r="G8" s="1">
        <f t="shared" si="0"/>
        <v>0</v>
      </c>
    </row>
    <row r="9" spans="1:7" x14ac:dyDescent="0.2">
      <c r="A9" t="str">
        <f>'P1'!A9</f>
        <v>labStatusC3NotEmployedL1</v>
      </c>
      <c r="B9">
        <f>'P1'!B9</f>
        <v>-0.31256654149451091</v>
      </c>
      <c r="D9" t="str">
        <f>P1_orig!A9</f>
        <v>Les_c3_NotEmployed_L1</v>
      </c>
      <c r="E9">
        <f>P1_orig!B9</f>
        <v>-0.31256654149451091</v>
      </c>
      <c r="G9" s="1">
        <f t="shared" si="0"/>
        <v>0</v>
      </c>
    </row>
    <row r="10" spans="1:7" x14ac:dyDescent="0.2">
      <c r="A10" t="str">
        <f>'P1'!A10</f>
        <v>yHhQuintilesMonthC5Q2L1</v>
      </c>
      <c r="B10">
        <f>'P1'!B10</f>
        <v>-0.13748350081147806</v>
      </c>
      <c r="D10" t="str">
        <f>P1_orig!A10</f>
        <v>Ydses_c5_Q2_L1</v>
      </c>
      <c r="E10">
        <f>P1_orig!B10</f>
        <v>-0.13748350081147798</v>
      </c>
      <c r="G10" s="1">
        <f t="shared" si="0"/>
        <v>0</v>
      </c>
    </row>
    <row r="11" spans="1:7" x14ac:dyDescent="0.2">
      <c r="A11" t="str">
        <f>'P1'!A11</f>
        <v>yHhQuintilesMonthC5Q3L1</v>
      </c>
      <c r="B11">
        <f>'P1'!B11</f>
        <v>-0.30234471591739631</v>
      </c>
      <c r="D11" t="str">
        <f>P1_orig!A11</f>
        <v>Ydses_c5_Q3_L1</v>
      </c>
      <c r="E11">
        <f>P1_orig!B11</f>
        <v>-0.3023447159173962</v>
      </c>
      <c r="G11" s="1">
        <f t="shared" si="0"/>
        <v>0</v>
      </c>
    </row>
    <row r="12" spans="1:7" x14ac:dyDescent="0.2">
      <c r="A12" t="str">
        <f>'P1'!A12</f>
        <v>yHhQuintilesMonthC5Q4L1</v>
      </c>
      <c r="B12">
        <f>'P1'!B12</f>
        <v>-0.15996082097943842</v>
      </c>
      <c r="D12" t="str">
        <f>P1_orig!A12</f>
        <v>Ydses_c5_Q4_L1</v>
      </c>
      <c r="E12">
        <f>P1_orig!B12</f>
        <v>-0.15996082097943826</v>
      </c>
      <c r="G12" s="1">
        <f t="shared" si="0"/>
        <v>0</v>
      </c>
    </row>
    <row r="13" spans="1:7" x14ac:dyDescent="0.2">
      <c r="A13" t="str">
        <f>'P1'!A13</f>
        <v>yHhQuintilesMonthC5Q5L1</v>
      </c>
      <c r="B13">
        <f>'P1'!B13</f>
        <v>-7.2382470861623985E-2</v>
      </c>
      <c r="D13" t="str">
        <f>P1_orig!A13</f>
        <v>Ydses_c5_Q5_L1</v>
      </c>
      <c r="E13">
        <f>P1_orig!B13</f>
        <v>-7.2382470861624068E-2</v>
      </c>
      <c r="G13" s="1">
        <f t="shared" si="0"/>
        <v>0</v>
      </c>
    </row>
    <row r="14" spans="1:7" x14ac:dyDescent="0.2">
      <c r="A14" t="str">
        <f>'P1'!A14</f>
        <v>demRgnUKC</v>
      </c>
      <c r="B14">
        <f>'P1'!B14</f>
        <v>-6.584520843030145E-2</v>
      </c>
      <c r="D14" t="str">
        <f>P1_orig!A14</f>
        <v>demRgnUKC</v>
      </c>
      <c r="E14">
        <f>P1_orig!B14</f>
        <v>-6.5845208430301366E-2</v>
      </c>
      <c r="G14" s="1">
        <f t="shared" si="0"/>
        <v>0</v>
      </c>
    </row>
    <row r="15" spans="1:7" x14ac:dyDescent="0.2">
      <c r="A15" t="str">
        <f>'P1'!A15</f>
        <v>demRgnUKD</v>
      </c>
      <c r="B15">
        <f>'P1'!B15</f>
        <v>0.17246642101542556</v>
      </c>
      <c r="D15" t="str">
        <f>P1_orig!A15</f>
        <v>demRgnUKD</v>
      </c>
      <c r="E15">
        <f>P1_orig!B15</f>
        <v>0.1724664210154255</v>
      </c>
      <c r="G15" s="1">
        <f t="shared" si="0"/>
        <v>0</v>
      </c>
    </row>
    <row r="16" spans="1:7" x14ac:dyDescent="0.2">
      <c r="A16" t="str">
        <f>'P1'!A16</f>
        <v>demRgnUKE</v>
      </c>
      <c r="B16">
        <f>'P1'!B16</f>
        <v>0.16029198427979829</v>
      </c>
      <c r="D16" t="str">
        <f>P1_orig!A16</f>
        <v>demRgnUKE</v>
      </c>
      <c r="E16">
        <f>P1_orig!B16</f>
        <v>0.16029198427979835</v>
      </c>
      <c r="G16" s="1">
        <f t="shared" si="0"/>
        <v>0</v>
      </c>
    </row>
    <row r="17" spans="1:7" x14ac:dyDescent="0.2">
      <c r="A17" t="str">
        <f>'P1'!A17</f>
        <v>demRgnUKF</v>
      </c>
      <c r="B17">
        <f>'P1'!B17</f>
        <v>6.8786874278628909E-2</v>
      </c>
      <c r="D17" t="str">
        <f>P1_orig!A17</f>
        <v>demRgnUKF</v>
      </c>
      <c r="E17">
        <f>P1_orig!B17</f>
        <v>6.8786874278629048E-2</v>
      </c>
      <c r="G17" s="1">
        <f t="shared" si="0"/>
        <v>-1.3877787807814457E-16</v>
      </c>
    </row>
    <row r="18" spans="1:7" x14ac:dyDescent="0.2">
      <c r="A18" t="str">
        <f>'P1'!A18</f>
        <v>demRgnUKG</v>
      </c>
      <c r="B18">
        <f>'P1'!B18</f>
        <v>5.3215523672966322E-2</v>
      </c>
      <c r="D18" t="str">
        <f>P1_orig!A18</f>
        <v>demRgnUKG</v>
      </c>
      <c r="E18">
        <f>P1_orig!B18</f>
        <v>5.3215523672966482E-2</v>
      </c>
      <c r="G18" s="1">
        <f t="shared" si="0"/>
        <v>-1.5959455978986625E-16</v>
      </c>
    </row>
    <row r="19" spans="1:7" x14ac:dyDescent="0.2">
      <c r="A19" t="str">
        <f>'P1'!A19</f>
        <v>demRgnUKH</v>
      </c>
      <c r="B19">
        <f>'P1'!B19</f>
        <v>1.8853131291135843E-2</v>
      </c>
      <c r="D19" t="str">
        <f>P1_orig!A19</f>
        <v>demRgnUKH</v>
      </c>
      <c r="E19">
        <f>P1_orig!B19</f>
        <v>1.8853131291135767E-2</v>
      </c>
      <c r="G19" s="1">
        <f t="shared" si="0"/>
        <v>7.6327832942979512E-17</v>
      </c>
    </row>
    <row r="20" spans="1:7" x14ac:dyDescent="0.2">
      <c r="A20" t="str">
        <f>'P1'!A20</f>
        <v>demRgnUKJ</v>
      </c>
      <c r="B20">
        <f>'P1'!B20</f>
        <v>-3.8043083291995228E-3</v>
      </c>
      <c r="D20" t="str">
        <f>P1_orig!A20</f>
        <v>demRgnUKJ</v>
      </c>
      <c r="E20">
        <f>P1_orig!B20</f>
        <v>-3.8043083291995198E-3</v>
      </c>
      <c r="G20" s="1">
        <f t="shared" si="0"/>
        <v>0</v>
      </c>
    </row>
    <row r="21" spans="1:7" x14ac:dyDescent="0.2">
      <c r="A21" t="str">
        <f>'P1'!A21</f>
        <v>demRgnUKK</v>
      </c>
      <c r="B21">
        <f>'P1'!B21</f>
        <v>0.18863688864436348</v>
      </c>
      <c r="D21" t="str">
        <f>P1_orig!A21</f>
        <v>demRgnUKK</v>
      </c>
      <c r="E21">
        <f>P1_orig!B21</f>
        <v>0.18863688864436345</v>
      </c>
      <c r="G21" s="1">
        <f t="shared" si="0"/>
        <v>0</v>
      </c>
    </row>
    <row r="22" spans="1:7" x14ac:dyDescent="0.2">
      <c r="A22" t="str">
        <f>'P1'!A22</f>
        <v>demRgnUKL</v>
      </c>
      <c r="B22">
        <f>'P1'!B22</f>
        <v>-1.0326579922950359E-2</v>
      </c>
      <c r="D22" t="str">
        <f>P1_orig!A22</f>
        <v>demRgnUKL</v>
      </c>
      <c r="E22">
        <f>P1_orig!B22</f>
        <v>-1.0326579922950265E-2</v>
      </c>
      <c r="G22" s="1">
        <f t="shared" si="0"/>
        <v>-9.3675067702747583E-17</v>
      </c>
    </row>
    <row r="23" spans="1:7" x14ac:dyDescent="0.2">
      <c r="A23" t="str">
        <f>'P1'!A23</f>
        <v>demRgnUKM</v>
      </c>
      <c r="B23">
        <f>'P1'!B23</f>
        <v>0.12724499658639871</v>
      </c>
      <c r="D23" t="str">
        <f>P1_orig!A23</f>
        <v>demRgnUKM</v>
      </c>
      <c r="E23">
        <f>P1_orig!B23</f>
        <v>0.12724499658639862</v>
      </c>
      <c r="G23" s="1">
        <f t="shared" si="0"/>
        <v>0</v>
      </c>
    </row>
    <row r="24" spans="1:7" x14ac:dyDescent="0.2">
      <c r="A24" t="str">
        <f>'P1'!A24</f>
        <v>demRgnUKN</v>
      </c>
      <c r="B24">
        <f>'P1'!B24</f>
        <v>-0.12941144766228069</v>
      </c>
      <c r="D24" t="str">
        <f>P1_orig!A24</f>
        <v>demRgnUKN</v>
      </c>
      <c r="E24">
        <f>P1_orig!B24</f>
        <v>-0.12941144766228052</v>
      </c>
      <c r="G24" s="1">
        <f t="shared" si="0"/>
        <v>0</v>
      </c>
    </row>
    <row r="25" spans="1:7" x14ac:dyDescent="0.2">
      <c r="A25" t="str">
        <f>'P1'!A25</f>
        <v>demYearTransformed</v>
      </c>
      <c r="B25">
        <f>'P1'!B25</f>
        <v>-1.4739123620402528E-2</v>
      </c>
      <c r="D25" t="str">
        <f>P1_orig!A25</f>
        <v>Year_transformed</v>
      </c>
      <c r="E25">
        <f>P1_orig!B25</f>
        <v>-1.4739123620402507E-2</v>
      </c>
      <c r="G25" s="1">
        <f t="shared" si="0"/>
        <v>-2.0816681711721685E-17</v>
      </c>
    </row>
    <row r="26" spans="1:7" x14ac:dyDescent="0.2">
      <c r="A26" t="str">
        <f>'P1'!A26</f>
        <v>demYear2020</v>
      </c>
      <c r="B26">
        <f>'P1'!B26</f>
        <v>0.11020020000248419</v>
      </c>
      <c r="D26" t="str">
        <f>P1_orig!A26</f>
        <v>Y2020</v>
      </c>
      <c r="E26">
        <f>P1_orig!B26</f>
        <v>0.11020020000248411</v>
      </c>
      <c r="G26" s="1">
        <f t="shared" si="0"/>
        <v>0</v>
      </c>
    </row>
    <row r="27" spans="1:7" x14ac:dyDescent="0.2">
      <c r="A27" t="str">
        <f>'P1'!A27</f>
        <v>demYear2021</v>
      </c>
      <c r="B27">
        <f>'P1'!B27</f>
        <v>8.4344972357574335E-2</v>
      </c>
      <c r="D27" t="str">
        <f>P1_orig!A27</f>
        <v>Y2021</v>
      </c>
      <c r="E27">
        <f>P1_orig!B27</f>
        <v>8.4344972357574252E-2</v>
      </c>
      <c r="G27" s="1">
        <f t="shared" si="0"/>
        <v>0</v>
      </c>
    </row>
    <row r="28" spans="1:7" x14ac:dyDescent="0.2">
      <c r="A28" t="str">
        <f>'P1'!A28</f>
        <v>demEthnC4Asian</v>
      </c>
      <c r="B28">
        <f>'P1'!B28</f>
        <v>-0.4798228252780507</v>
      </c>
      <c r="D28" t="str">
        <f>P1_orig!A28</f>
        <v>demEthnC4Asian</v>
      </c>
      <c r="E28">
        <f>P1_orig!B28</f>
        <v>-0.47982282527805076</v>
      </c>
      <c r="G28" s="1">
        <f t="shared" si="0"/>
        <v>0</v>
      </c>
    </row>
    <row r="29" spans="1:7" x14ac:dyDescent="0.2">
      <c r="A29" t="str">
        <f>'P1'!A29</f>
        <v>demEthnC4Black</v>
      </c>
      <c r="B29">
        <f>'P1'!B29</f>
        <v>-0.20440520498978301</v>
      </c>
      <c r="D29" t="str">
        <f>P1_orig!A29</f>
        <v>demEthnC4Black</v>
      </c>
      <c r="E29">
        <f>P1_orig!B29</f>
        <v>-0.20440520498978287</v>
      </c>
      <c r="G29" s="1">
        <f t="shared" si="0"/>
        <v>0</v>
      </c>
    </row>
    <row r="30" spans="1:7" x14ac:dyDescent="0.2">
      <c r="A30" t="str">
        <f>'P1'!A30</f>
        <v>demEthnC4Other</v>
      </c>
      <c r="B30">
        <f>'P1'!B30</f>
        <v>-0.20992770628085858</v>
      </c>
      <c r="D30" t="str">
        <f>P1_orig!A30</f>
        <v>demEthnC4Other</v>
      </c>
      <c r="E30">
        <f>P1_orig!B30</f>
        <v>-0.20992770628085838</v>
      </c>
      <c r="G30" s="1">
        <f t="shared" si="0"/>
        <v>0</v>
      </c>
    </row>
    <row r="31" spans="1:7" x14ac:dyDescent="0.2">
      <c r="A31" t="str">
        <f>'P1'!A31</f>
        <v>Constant</v>
      </c>
      <c r="B31">
        <f>'P1'!B31</f>
        <v>-3.7898611329164122</v>
      </c>
      <c r="D31" t="str">
        <f>P1_orig!A31</f>
        <v>Constant</v>
      </c>
      <c r="E31">
        <f>P1_orig!B31</f>
        <v>-3.789861132916398</v>
      </c>
      <c r="G31" s="1">
        <f t="shared" si="0"/>
        <v>-1.4210854715202004E-14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33</v>
      </c>
    </row>
    <row r="3" spans="1:2" x14ac:dyDescent="0.2">
      <c r="A3" t="s">
        <v>34</v>
      </c>
    </row>
    <row r="5" spans="1:2" x14ac:dyDescent="0.2">
      <c r="A5" t="s">
        <v>3</v>
      </c>
      <c r="B5" t="s">
        <v>0</v>
      </c>
    </row>
    <row r="6" spans="1:2" x14ac:dyDescent="0.2">
      <c r="A6" t="s">
        <v>4</v>
      </c>
      <c r="B6" t="s">
        <v>5</v>
      </c>
    </row>
    <row r="10" spans="1:2" x14ac:dyDescent="0.2">
      <c r="A10" t="s">
        <v>6</v>
      </c>
      <c r="B10" t="s">
        <v>7</v>
      </c>
    </row>
    <row r="11" spans="1:2" x14ac:dyDescent="0.2">
      <c r="B1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baseColWidth="10" defaultColWidth="8.83203125" defaultRowHeight="15" x14ac:dyDescent="0.2"/>
  <sheetData>
    <row r="1" spans="1:6" x14ac:dyDescent="0.2">
      <c r="A1" t="s">
        <v>9</v>
      </c>
    </row>
    <row r="3" spans="1:6" x14ac:dyDescent="0.2">
      <c r="A3" t="s">
        <v>28</v>
      </c>
    </row>
    <row r="4" spans="1:6" x14ac:dyDescent="0.2">
      <c r="A4" t="s">
        <v>29</v>
      </c>
      <c r="B4">
        <v>6.6948218154622485E-2</v>
      </c>
      <c r="E4" t="s">
        <v>31</v>
      </c>
      <c r="F4">
        <v>690.70153573369316</v>
      </c>
    </row>
    <row r="5" spans="1:6" x14ac:dyDescent="0.2">
      <c r="A5" t="s">
        <v>30</v>
      </c>
      <c r="B5">
        <v>24036</v>
      </c>
      <c r="E5" t="s">
        <v>32</v>
      </c>
      <c r="F5">
        <v>-4580249.4323749552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1"/>
  <sheetViews>
    <sheetView workbookViewId="0"/>
  </sheetViews>
  <sheetFormatPr baseColWidth="10" defaultColWidth="8.83203125" defaultRowHeight="15" x14ac:dyDescent="0.2"/>
  <cols>
    <col min="1" max="1" width="30.1640625" customWidth="1"/>
  </cols>
  <sheetData>
    <row r="1" spans="1:32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24</v>
      </c>
      <c r="AA1" t="s">
        <v>25</v>
      </c>
      <c r="AB1" t="s">
        <v>26</v>
      </c>
      <c r="AC1" t="s">
        <v>60</v>
      </c>
      <c r="AD1" t="s">
        <v>61</v>
      </c>
      <c r="AE1" t="s">
        <v>62</v>
      </c>
      <c r="AF1" t="s">
        <v>27</v>
      </c>
    </row>
    <row r="2" spans="1:32" x14ac:dyDescent="0.2">
      <c r="A2" t="s">
        <v>12</v>
      </c>
      <c r="B2">
        <v>-0.2069194862876749</v>
      </c>
      <c r="C2">
        <v>9.9410692531477773E-4</v>
      </c>
      <c r="D2">
        <v>-4.9840715093932877E-5</v>
      </c>
      <c r="E2">
        <v>5.7940684815837068E-7</v>
      </c>
      <c r="F2">
        <v>-2.0928808830311809E-4</v>
      </c>
      <c r="G2">
        <v>-1.4213747318844575E-4</v>
      </c>
      <c r="H2">
        <v>-2.8077360736412151E-4</v>
      </c>
      <c r="I2">
        <v>1.1693215038745929E-4</v>
      </c>
      <c r="J2">
        <v>-6.8444517816553251E-5</v>
      </c>
      <c r="K2">
        <v>-3.6853875254191397E-5</v>
      </c>
      <c r="L2">
        <v>-2.2440980154594242E-5</v>
      </c>
      <c r="M2">
        <v>-8.9092834616442147E-6</v>
      </c>
      <c r="N2">
        <v>-7.0962650636588934E-5</v>
      </c>
      <c r="O2">
        <v>-1.5518119750960861E-4</v>
      </c>
      <c r="P2">
        <v>1.6438002439310873E-4</v>
      </c>
      <c r="Q2">
        <v>1.0584537154853108E-5</v>
      </c>
      <c r="R2">
        <v>1.0874507537759537E-5</v>
      </c>
      <c r="S2">
        <v>5.9699405613376937E-5</v>
      </c>
      <c r="T2">
        <v>-3.17716084350302E-5</v>
      </c>
      <c r="U2">
        <v>-5.1570223737255335E-5</v>
      </c>
      <c r="V2">
        <v>4.1294202976521565E-5</v>
      </c>
      <c r="W2">
        <v>-1.5039910363573726E-5</v>
      </c>
      <c r="X2">
        <v>-1.4977656740297909E-5</v>
      </c>
      <c r="Y2">
        <v>6.0594841515406372E-5</v>
      </c>
      <c r="Z2">
        <v>6.5302543672331349E-7</v>
      </c>
      <c r="AA2">
        <v>4.3492316941393435E-5</v>
      </c>
      <c r="AB2">
        <v>2.1021733859953292E-5</v>
      </c>
      <c r="AC2">
        <v>-2.0599383813808125E-5</v>
      </c>
      <c r="AD2">
        <v>-4.7149176486760121E-4</v>
      </c>
      <c r="AE2">
        <v>-2.4216010275012957E-5</v>
      </c>
      <c r="AF2">
        <v>4.9682436959544234E-4</v>
      </c>
    </row>
    <row r="3" spans="1:32" x14ac:dyDescent="0.2">
      <c r="A3" t="s">
        <v>13</v>
      </c>
      <c r="B3">
        <v>0.19746408237471036</v>
      </c>
      <c r="C3">
        <v>-4.9840715093932877E-5</v>
      </c>
      <c r="D3">
        <v>1.2388763085414655E-3</v>
      </c>
      <c r="E3">
        <v>-2.2742201372518378E-5</v>
      </c>
      <c r="F3">
        <v>7.4785210010189706E-4</v>
      </c>
      <c r="G3">
        <v>4.5482078467470226E-4</v>
      </c>
      <c r="H3">
        <v>5.8322308148152141E-4</v>
      </c>
      <c r="I3">
        <v>6.2552257236056074E-4</v>
      </c>
      <c r="J3">
        <v>5.2269196264560021E-4</v>
      </c>
      <c r="K3">
        <v>6.3209572422181517E-4</v>
      </c>
      <c r="L3">
        <v>5.6749030562836629E-4</v>
      </c>
      <c r="M3">
        <v>5.4614448249276138E-4</v>
      </c>
      <c r="N3">
        <v>7.4007853589540653E-4</v>
      </c>
      <c r="O3">
        <v>2.7035978605142227E-4</v>
      </c>
      <c r="P3">
        <v>2.1916971269702375E-4</v>
      </c>
      <c r="Q3">
        <v>3.3213247295292504E-4</v>
      </c>
      <c r="R3">
        <v>2.4525505148173077E-4</v>
      </c>
      <c r="S3">
        <v>2.2247914151556688E-4</v>
      </c>
      <c r="T3">
        <v>2.9151588484872641E-4</v>
      </c>
      <c r="U3">
        <v>2.2378493368000298E-4</v>
      </c>
      <c r="V3">
        <v>2.8890468514017505E-4</v>
      </c>
      <c r="W3">
        <v>2.1055904214640304E-4</v>
      </c>
      <c r="X3">
        <v>4.0755150323206878E-4</v>
      </c>
      <c r="Y3">
        <v>8.9189338162821465E-5</v>
      </c>
      <c r="Z3">
        <v>5.5465381527885441E-6</v>
      </c>
      <c r="AA3">
        <v>-1.7573168730093078E-6</v>
      </c>
      <c r="AB3">
        <v>-4.6726338553173966E-5</v>
      </c>
      <c r="AC3">
        <v>-5.142114477722174E-5</v>
      </c>
      <c r="AD3">
        <v>2.5038700768578726E-4</v>
      </c>
      <c r="AE3">
        <v>3.1623440649696574E-5</v>
      </c>
      <c r="AF3">
        <v>-1.7514934000182995E-2</v>
      </c>
    </row>
    <row r="4" spans="1:32" x14ac:dyDescent="0.2">
      <c r="A4" t="s">
        <v>14</v>
      </c>
      <c r="B4">
        <v>-2.6374910089943817E-3</v>
      </c>
      <c r="C4">
        <v>5.7940684815837068E-7</v>
      </c>
      <c r="D4">
        <v>-2.2742201372518378E-5</v>
      </c>
      <c r="E4">
        <v>4.2203384982845499E-7</v>
      </c>
      <c r="F4">
        <v>-1.3182004074165989E-5</v>
      </c>
      <c r="G4">
        <v>-8.2040556568033015E-6</v>
      </c>
      <c r="H4">
        <v>-1.0886057665472941E-5</v>
      </c>
      <c r="I4">
        <v>-1.0312760726581058E-5</v>
      </c>
      <c r="J4">
        <v>-8.866953391555928E-6</v>
      </c>
      <c r="K4">
        <v>-1.0521364100176786E-5</v>
      </c>
      <c r="L4">
        <v>-9.5408657135744561E-6</v>
      </c>
      <c r="M4">
        <v>-9.6651115286563374E-6</v>
      </c>
      <c r="N4">
        <v>-1.3196868707386652E-5</v>
      </c>
      <c r="O4">
        <v>-5.0103389523561536E-6</v>
      </c>
      <c r="P4">
        <v>-4.5763870343107333E-6</v>
      </c>
      <c r="Q4">
        <v>-6.4208637660390845E-6</v>
      </c>
      <c r="R4">
        <v>-4.7740958425916878E-6</v>
      </c>
      <c r="S4">
        <v>-4.4638876930895414E-6</v>
      </c>
      <c r="T4">
        <v>-5.5002422869351012E-6</v>
      </c>
      <c r="U4">
        <v>-4.440458968954576E-6</v>
      </c>
      <c r="V4">
        <v>-5.5117995684714827E-6</v>
      </c>
      <c r="W4">
        <v>-4.3484124492864855E-6</v>
      </c>
      <c r="X4">
        <v>-7.3780212921750403E-6</v>
      </c>
      <c r="Y4">
        <v>-1.9618617589534256E-6</v>
      </c>
      <c r="Z4">
        <v>-1.0277630215364659E-7</v>
      </c>
      <c r="AA4">
        <v>-1.9788895121133291E-8</v>
      </c>
      <c r="AB4">
        <v>6.4379934628561151E-7</v>
      </c>
      <c r="AC4">
        <v>7.8005903958297182E-7</v>
      </c>
      <c r="AD4">
        <v>-5.7861282063398334E-6</v>
      </c>
      <c r="AE4">
        <v>-1.0915277513786161E-6</v>
      </c>
      <c r="AF4">
        <v>3.1826043205566333E-4</v>
      </c>
    </row>
    <row r="5" spans="1:32" x14ac:dyDescent="0.2">
      <c r="A5" t="s">
        <v>15</v>
      </c>
      <c r="B5">
        <v>-4.6575993899237111E-2</v>
      </c>
      <c r="C5">
        <v>-2.0928808830311809E-4</v>
      </c>
      <c r="D5">
        <v>7.4785210010189706E-4</v>
      </c>
      <c r="E5">
        <v>-1.3182004074165989E-5</v>
      </c>
      <c r="F5">
        <v>6.7831269193316234E-3</v>
      </c>
      <c r="G5">
        <v>1.65529245887814E-3</v>
      </c>
      <c r="H5">
        <v>1.4002152644648803E-3</v>
      </c>
      <c r="I5">
        <v>-3.3287152441425494E-3</v>
      </c>
      <c r="J5">
        <v>-4.8101574808977416E-4</v>
      </c>
      <c r="K5">
        <v>-2.3016352705903641E-4</v>
      </c>
      <c r="L5">
        <v>-5.6111803503210763E-4</v>
      </c>
      <c r="M5">
        <v>-3.9710311581468341E-4</v>
      </c>
      <c r="N5">
        <v>-3.8923472375873916E-4</v>
      </c>
      <c r="O5">
        <v>1.7552040504485353E-4</v>
      </c>
      <c r="P5">
        <v>7.8055030680211027E-5</v>
      </c>
      <c r="Q5">
        <v>1.2257753311566014E-4</v>
      </c>
      <c r="R5">
        <v>2.1272113071326137E-4</v>
      </c>
      <c r="S5">
        <v>1.0686815838039472E-5</v>
      </c>
      <c r="T5">
        <v>-4.8702772164558174E-5</v>
      </c>
      <c r="U5">
        <v>3.4230433020442964E-4</v>
      </c>
      <c r="V5">
        <v>-1.9939031848564977E-5</v>
      </c>
      <c r="W5">
        <v>4.4493988832416823E-5</v>
      </c>
      <c r="X5">
        <v>4.8886398706562344E-4</v>
      </c>
      <c r="Y5">
        <v>3.0788493923716506E-5</v>
      </c>
      <c r="Z5">
        <v>5.1608625830753402E-5</v>
      </c>
      <c r="AA5">
        <v>-1.1134448375720069E-5</v>
      </c>
      <c r="AB5">
        <v>-4.3743892798607672E-5</v>
      </c>
      <c r="AC5">
        <v>1.2690773982464154E-5</v>
      </c>
      <c r="AD5">
        <v>9.4297749891250355E-4</v>
      </c>
      <c r="AE5">
        <v>-1.6788434318724412E-4</v>
      </c>
      <c r="AF5">
        <v>-1.17778159285571E-2</v>
      </c>
    </row>
    <row r="6" spans="1:32" x14ac:dyDescent="0.2">
      <c r="A6" t="s">
        <v>16</v>
      </c>
      <c r="B6">
        <v>-0.19764507198603459</v>
      </c>
      <c r="C6">
        <v>-1.4213747318844575E-4</v>
      </c>
      <c r="D6">
        <v>4.5482078467470226E-4</v>
      </c>
      <c r="E6">
        <v>-8.2040556568033015E-6</v>
      </c>
      <c r="F6">
        <v>1.65529245887814E-3</v>
      </c>
      <c r="G6">
        <v>1.6676720873522108E-3</v>
      </c>
      <c r="H6">
        <v>1.3384074894255962E-3</v>
      </c>
      <c r="I6">
        <v>-2.0428242260508598E-4</v>
      </c>
      <c r="J6">
        <v>-8.3415399622527005E-5</v>
      </c>
      <c r="K6">
        <v>5.2196315047918973E-5</v>
      </c>
      <c r="L6">
        <v>1.6017990904775448E-6</v>
      </c>
      <c r="M6">
        <v>2.1416430979329158E-4</v>
      </c>
      <c r="N6">
        <v>3.1115394524348732E-4</v>
      </c>
      <c r="O6">
        <v>4.253319071301808E-4</v>
      </c>
      <c r="P6">
        <v>3.8750367103976713E-4</v>
      </c>
      <c r="Q6">
        <v>2.3291613436451247E-4</v>
      </c>
      <c r="R6">
        <v>2.0437215978712684E-4</v>
      </c>
      <c r="S6">
        <v>2.3964805423722774E-4</v>
      </c>
      <c r="T6">
        <v>1.8255517519545926E-4</v>
      </c>
      <c r="U6">
        <v>4.3970249710405078E-4</v>
      </c>
      <c r="V6">
        <v>1.1515613050996145E-4</v>
      </c>
      <c r="W6">
        <v>2.3546423936171882E-4</v>
      </c>
      <c r="X6">
        <v>4.6663588295345489E-4</v>
      </c>
      <c r="Y6">
        <v>2.7453127911703261E-4</v>
      </c>
      <c r="Z6">
        <v>2.939477655597802E-5</v>
      </c>
      <c r="AA6">
        <v>-1.4976418133007683E-4</v>
      </c>
      <c r="AB6">
        <v>-5.0201176582686667E-5</v>
      </c>
      <c r="AC6">
        <v>3.2553682570857223E-4</v>
      </c>
      <c r="AD6">
        <v>9.9584875002149773E-4</v>
      </c>
      <c r="AE6">
        <v>-9.529260626358043E-5</v>
      </c>
      <c r="AF6">
        <v>-8.0302498767741096E-3</v>
      </c>
    </row>
    <row r="7" spans="1:32" x14ac:dyDescent="0.2">
      <c r="A7" t="s">
        <v>17</v>
      </c>
      <c r="B7">
        <v>-0.39715703200294977</v>
      </c>
      <c r="C7">
        <v>-2.8077360736412151E-4</v>
      </c>
      <c r="D7">
        <v>5.8322308148152141E-4</v>
      </c>
      <c r="E7">
        <v>-1.0886057665472941E-5</v>
      </c>
      <c r="F7">
        <v>1.4002152644648803E-3</v>
      </c>
      <c r="G7">
        <v>1.3384074894255962E-3</v>
      </c>
      <c r="H7">
        <v>6.9021390870679334E-3</v>
      </c>
      <c r="I7">
        <v>2.6996963530708244E-4</v>
      </c>
      <c r="J7">
        <v>-3.4586310093331419E-4</v>
      </c>
      <c r="K7">
        <v>6.8765806952793696E-4</v>
      </c>
      <c r="L7">
        <v>5.3760314821327672E-4</v>
      </c>
      <c r="M7">
        <v>8.0254992244548984E-4</v>
      </c>
      <c r="N7">
        <v>9.1594319091950591E-4</v>
      </c>
      <c r="O7">
        <v>5.1117033293170025E-4</v>
      </c>
      <c r="P7">
        <v>2.9781773303741237E-4</v>
      </c>
      <c r="Q7">
        <v>3.2096454713893103E-4</v>
      </c>
      <c r="R7">
        <v>2.4491604112473233E-4</v>
      </c>
      <c r="S7">
        <v>-8.2862081123015485E-5</v>
      </c>
      <c r="T7">
        <v>-1.5866347838962679E-4</v>
      </c>
      <c r="U7">
        <v>2.004547057272288E-4</v>
      </c>
      <c r="V7">
        <v>8.4604449254287043E-5</v>
      </c>
      <c r="W7">
        <v>-2.7289333462904753E-4</v>
      </c>
      <c r="X7">
        <v>2.5721441367793253E-4</v>
      </c>
      <c r="Y7">
        <v>-1.5137127251235272E-4</v>
      </c>
      <c r="Z7">
        <v>2.8983402962159954E-6</v>
      </c>
      <c r="AA7">
        <v>8.1238770248995631E-5</v>
      </c>
      <c r="AB7">
        <v>-2.0613297126221685E-5</v>
      </c>
      <c r="AC7">
        <v>4.7934255913672369E-4</v>
      </c>
      <c r="AD7">
        <v>7.0980837334844215E-4</v>
      </c>
      <c r="AE7">
        <v>-5.4739881428427959E-5</v>
      </c>
      <c r="AF7">
        <v>-9.3680085557809635E-3</v>
      </c>
    </row>
    <row r="8" spans="1:32" x14ac:dyDescent="0.2">
      <c r="A8" t="s">
        <v>18</v>
      </c>
      <c r="B8">
        <v>-0.28442451085933673</v>
      </c>
      <c r="C8">
        <v>1.1693215038745929E-4</v>
      </c>
      <c r="D8">
        <v>6.2552257236056074E-4</v>
      </c>
      <c r="E8">
        <v>-1.0312760726581058E-5</v>
      </c>
      <c r="F8">
        <v>-3.3287152441425494E-3</v>
      </c>
      <c r="G8">
        <v>-2.0428242260508598E-4</v>
      </c>
      <c r="H8">
        <v>2.6996963530708244E-4</v>
      </c>
      <c r="I8">
        <v>6.0089826880808531E-3</v>
      </c>
      <c r="J8">
        <v>2.8254367467963511E-3</v>
      </c>
      <c r="K8">
        <v>2.6281572233768447E-3</v>
      </c>
      <c r="L8">
        <v>3.3715649643570531E-3</v>
      </c>
      <c r="M8">
        <v>3.0826209989086254E-3</v>
      </c>
      <c r="N8">
        <v>2.5133018164517512E-3</v>
      </c>
      <c r="O8">
        <v>-1.8202256515805035E-4</v>
      </c>
      <c r="P8">
        <v>-1.284271105397982E-4</v>
      </c>
      <c r="Q8">
        <v>8.4685382186810119E-5</v>
      </c>
      <c r="R8">
        <v>-8.1775848537485253E-5</v>
      </c>
      <c r="S8">
        <v>-1.6426467398692433E-4</v>
      </c>
      <c r="T8">
        <v>1.328094682647641E-4</v>
      </c>
      <c r="U8">
        <v>-1.9874842424585232E-4</v>
      </c>
      <c r="V8">
        <v>1.0485499664513007E-4</v>
      </c>
      <c r="W8">
        <v>-1.9790987203512946E-5</v>
      </c>
      <c r="X8">
        <v>-4.359535474469853E-4</v>
      </c>
      <c r="Y8">
        <v>-4.5690767164797974E-5</v>
      </c>
      <c r="Z8">
        <v>-3.7555828676380651E-5</v>
      </c>
      <c r="AA8">
        <v>-8.6283811761387873E-5</v>
      </c>
      <c r="AB8">
        <v>2.1894137232944359E-5</v>
      </c>
      <c r="AC8">
        <v>2.4296540258967377E-4</v>
      </c>
      <c r="AD8">
        <v>-6.6136095847599448E-4</v>
      </c>
      <c r="AE8">
        <v>-5.7073530645195577E-5</v>
      </c>
      <c r="AF8">
        <v>-1.164334478595665E-2</v>
      </c>
    </row>
    <row r="9" spans="1:32" x14ac:dyDescent="0.2">
      <c r="A9" t="s">
        <v>19</v>
      </c>
      <c r="B9">
        <v>-0.31256654149451091</v>
      </c>
      <c r="C9">
        <v>-6.8444517816553251E-5</v>
      </c>
      <c r="D9">
        <v>5.2269196264560021E-4</v>
      </c>
      <c r="E9">
        <v>-8.866953391555928E-6</v>
      </c>
      <c r="F9">
        <v>-4.8101574808977416E-4</v>
      </c>
      <c r="G9">
        <v>-8.3415399622527005E-5</v>
      </c>
      <c r="H9">
        <v>-3.4586310093331419E-4</v>
      </c>
      <c r="I9">
        <v>2.8254367467963511E-3</v>
      </c>
      <c r="J9">
        <v>3.8697969496400992E-3</v>
      </c>
      <c r="K9">
        <v>2.3270390801344177E-3</v>
      </c>
      <c r="L9">
        <v>2.9807291595279734E-3</v>
      </c>
      <c r="M9">
        <v>2.7801905113933874E-3</v>
      </c>
      <c r="N9">
        <v>2.1365057966913092E-3</v>
      </c>
      <c r="O9">
        <v>-4.2287485381946495E-4</v>
      </c>
      <c r="P9">
        <v>-1.8912045783513014E-4</v>
      </c>
      <c r="Q9">
        <v>7.2347178632766948E-5</v>
      </c>
      <c r="R9">
        <v>-2.2824039109449045E-4</v>
      </c>
      <c r="S9">
        <v>-1.0352144696692167E-4</v>
      </c>
      <c r="T9">
        <v>9.4101484283094067E-5</v>
      </c>
      <c r="U9">
        <v>-2.9382869025585973E-5</v>
      </c>
      <c r="V9">
        <v>8.9401227003476367E-6</v>
      </c>
      <c r="W9">
        <v>-2.1595351636569159E-5</v>
      </c>
      <c r="X9">
        <v>-3.0335970941066054E-4</v>
      </c>
      <c r="Y9">
        <v>-4.8778623024442122E-5</v>
      </c>
      <c r="Z9">
        <v>-2.2044062251074231E-5</v>
      </c>
      <c r="AA9">
        <v>-1.3068494898038077E-4</v>
      </c>
      <c r="AB9">
        <v>2.8965319935718371E-5</v>
      </c>
      <c r="AC9">
        <v>1.1857043577067402E-4</v>
      </c>
      <c r="AD9">
        <v>-3.9227205058563631E-4</v>
      </c>
      <c r="AE9">
        <v>-4.0313732663280243E-5</v>
      </c>
      <c r="AF9">
        <v>-9.8749837216563531E-3</v>
      </c>
    </row>
    <row r="10" spans="1:32" x14ac:dyDescent="0.2">
      <c r="A10" t="s">
        <v>20</v>
      </c>
      <c r="B10">
        <v>-0.13748350081147798</v>
      </c>
      <c r="C10">
        <v>-3.6853875254191397E-5</v>
      </c>
      <c r="D10">
        <v>6.3209572422181517E-4</v>
      </c>
      <c r="E10">
        <v>-1.0521364100176786E-5</v>
      </c>
      <c r="F10">
        <v>-2.3016352705903641E-4</v>
      </c>
      <c r="G10">
        <v>5.2196315047918973E-5</v>
      </c>
      <c r="H10">
        <v>6.8765806952793696E-4</v>
      </c>
      <c r="I10">
        <v>2.6281572233768447E-3</v>
      </c>
      <c r="J10">
        <v>2.3270390801344177E-3</v>
      </c>
      <c r="K10">
        <v>4.2023904464805993E-3</v>
      </c>
      <c r="L10">
        <v>3.0925612400733681E-3</v>
      </c>
      <c r="M10">
        <v>2.8963976260687231E-3</v>
      </c>
      <c r="N10">
        <v>2.4845908830681239E-3</v>
      </c>
      <c r="O10">
        <v>6.0755013996446807E-5</v>
      </c>
      <c r="P10">
        <v>-3.4285454008966187E-4</v>
      </c>
      <c r="Q10">
        <v>3.9354669029089198E-5</v>
      </c>
      <c r="R10">
        <v>-2.6979754605442456E-4</v>
      </c>
      <c r="S10">
        <v>-2.8655286503314465E-4</v>
      </c>
      <c r="T10">
        <v>-5.2620313204625505E-5</v>
      </c>
      <c r="U10">
        <v>-1.0007578409823863E-4</v>
      </c>
      <c r="V10">
        <v>1.0283148016395586E-4</v>
      </c>
      <c r="W10">
        <v>-2.721437283371628E-4</v>
      </c>
      <c r="X10">
        <v>1.0489516307844379E-4</v>
      </c>
      <c r="Y10">
        <v>-3.0747806066376646E-5</v>
      </c>
      <c r="Z10">
        <v>-2.3510275670958957E-6</v>
      </c>
      <c r="AA10">
        <v>-1.5745810876444468E-4</v>
      </c>
      <c r="AB10">
        <v>-2.7678162264339065E-5</v>
      </c>
      <c r="AC10">
        <v>1.9642548064530141E-4</v>
      </c>
      <c r="AD10">
        <v>-1.3283565489404219E-4</v>
      </c>
      <c r="AE10">
        <v>-3.678219805358803E-5</v>
      </c>
      <c r="AF10">
        <v>-1.2062052359750493E-2</v>
      </c>
    </row>
    <row r="11" spans="1:32" x14ac:dyDescent="0.2">
      <c r="A11" t="s">
        <v>21</v>
      </c>
      <c r="B11">
        <v>-0.3023447159173962</v>
      </c>
      <c r="C11">
        <v>-2.2440980154594242E-5</v>
      </c>
      <c r="D11">
        <v>5.6749030562836629E-4</v>
      </c>
      <c r="E11">
        <v>-9.5408657135744561E-6</v>
      </c>
      <c r="F11">
        <v>-5.6111803503210763E-4</v>
      </c>
      <c r="G11">
        <v>1.6017990904775448E-6</v>
      </c>
      <c r="H11">
        <v>5.3760314821327672E-4</v>
      </c>
      <c r="I11">
        <v>3.3715649643570531E-3</v>
      </c>
      <c r="J11">
        <v>2.9807291595279734E-3</v>
      </c>
      <c r="K11">
        <v>3.0925612400733681E-3</v>
      </c>
      <c r="L11">
        <v>4.6114744635979516E-3</v>
      </c>
      <c r="M11">
        <v>3.5045593942649054E-3</v>
      </c>
      <c r="N11">
        <v>2.8763621068480928E-3</v>
      </c>
      <c r="O11">
        <v>1.4006089278201304E-4</v>
      </c>
      <c r="P11">
        <v>-2.4104238801294026E-4</v>
      </c>
      <c r="Q11">
        <v>-3.7503622150267214E-5</v>
      </c>
      <c r="R11">
        <v>-2.617285041597436E-4</v>
      </c>
      <c r="S11">
        <v>-1.9962571270778465E-4</v>
      </c>
      <c r="T11">
        <v>-1.2065154193470376E-4</v>
      </c>
      <c r="U11">
        <v>-1.871013374193911E-4</v>
      </c>
      <c r="V11">
        <v>-3.8076447667099197E-5</v>
      </c>
      <c r="W11">
        <v>-1.4170826613508895E-4</v>
      </c>
      <c r="X11">
        <v>-4.2082317678259395E-4</v>
      </c>
      <c r="Y11">
        <v>-7.0070697931982374E-5</v>
      </c>
      <c r="Z11">
        <v>-1.0530293780850906E-5</v>
      </c>
      <c r="AA11">
        <v>-1.6267952328967788E-4</v>
      </c>
      <c r="AB11">
        <v>1.3111708089882761E-4</v>
      </c>
      <c r="AC11">
        <v>2.8942878634062585E-4</v>
      </c>
      <c r="AD11">
        <v>-3.0057455987165908E-4</v>
      </c>
      <c r="AE11">
        <v>6.7566419637365245E-5</v>
      </c>
      <c r="AF11">
        <v>-1.1523024526535728E-2</v>
      </c>
    </row>
    <row r="12" spans="1:32" x14ac:dyDescent="0.2">
      <c r="A12" t="s">
        <v>22</v>
      </c>
      <c r="B12">
        <v>-0.15996082097943826</v>
      </c>
      <c r="C12">
        <v>-8.9092834616442147E-6</v>
      </c>
      <c r="D12">
        <v>5.4614448249276138E-4</v>
      </c>
      <c r="E12">
        <v>-9.6651115286563374E-6</v>
      </c>
      <c r="F12">
        <v>-3.9710311581468341E-4</v>
      </c>
      <c r="G12">
        <v>2.1416430979329158E-4</v>
      </c>
      <c r="H12">
        <v>8.0254992244548984E-4</v>
      </c>
      <c r="I12">
        <v>3.0826209989086254E-3</v>
      </c>
      <c r="J12">
        <v>2.7801905113933874E-3</v>
      </c>
      <c r="K12">
        <v>2.8963976260687231E-3</v>
      </c>
      <c r="L12">
        <v>3.5045593942649054E-3</v>
      </c>
      <c r="M12">
        <v>4.4063715369494372E-3</v>
      </c>
      <c r="N12">
        <v>2.7731843332173128E-3</v>
      </c>
      <c r="O12">
        <v>-6.2464533415580075E-5</v>
      </c>
      <c r="P12">
        <v>1.638721466333537E-4</v>
      </c>
      <c r="Q12">
        <v>3.2231913275933104E-4</v>
      </c>
      <c r="R12">
        <v>-9.9778175767122231E-5</v>
      </c>
      <c r="S12">
        <v>-1.0914618536139254E-4</v>
      </c>
      <c r="T12">
        <v>-5.0768722785144316E-5</v>
      </c>
      <c r="U12">
        <v>1.8623961052578806E-4</v>
      </c>
      <c r="V12">
        <v>1.0554757078293502E-4</v>
      </c>
      <c r="W12">
        <v>2.200473252449459E-4</v>
      </c>
      <c r="X12">
        <v>-1.7493195207108866E-4</v>
      </c>
      <c r="Y12">
        <v>1.5378535548172482E-4</v>
      </c>
      <c r="Z12">
        <v>6.5363914788759206E-6</v>
      </c>
      <c r="AA12">
        <v>-2.0573075219418378E-4</v>
      </c>
      <c r="AB12">
        <v>7.5137056719489534E-5</v>
      </c>
      <c r="AC12">
        <v>3.5175900263563356E-4</v>
      </c>
      <c r="AD12">
        <v>9.3745277932582183E-4</v>
      </c>
      <c r="AE12">
        <v>2.8017165294494731E-4</v>
      </c>
      <c r="AF12">
        <v>-1.1436455466047699E-2</v>
      </c>
    </row>
    <row r="13" spans="1:32" x14ac:dyDescent="0.2">
      <c r="A13" t="s">
        <v>23</v>
      </c>
      <c r="B13">
        <v>-7.2382470861624068E-2</v>
      </c>
      <c r="C13">
        <v>-7.0962650636588934E-5</v>
      </c>
      <c r="D13">
        <v>7.4007853589540653E-4</v>
      </c>
      <c r="E13">
        <v>-1.3196868707386652E-5</v>
      </c>
      <c r="F13">
        <v>-3.8923472375873916E-4</v>
      </c>
      <c r="G13">
        <v>3.1115394524348732E-4</v>
      </c>
      <c r="H13">
        <v>9.1594319091950591E-4</v>
      </c>
      <c r="I13">
        <v>2.5133018164517512E-3</v>
      </c>
      <c r="J13">
        <v>2.1365057966913092E-3</v>
      </c>
      <c r="K13">
        <v>2.4845908830681239E-3</v>
      </c>
      <c r="L13">
        <v>2.8763621068480928E-3</v>
      </c>
      <c r="M13">
        <v>2.7731843332173128E-3</v>
      </c>
      <c r="N13">
        <v>4.9144499226473556E-3</v>
      </c>
      <c r="O13">
        <v>1.1595328373386932E-4</v>
      </c>
      <c r="P13">
        <v>1.3439879369998549E-4</v>
      </c>
      <c r="Q13">
        <v>2.9894130618748937E-4</v>
      </c>
      <c r="R13">
        <v>-9.1208594492759882E-5</v>
      </c>
      <c r="S13">
        <v>-2.7246929618562551E-8</v>
      </c>
      <c r="T13">
        <v>2.3897692962988502E-4</v>
      </c>
      <c r="U13">
        <v>4.0710872103359372E-5</v>
      </c>
      <c r="V13">
        <v>1.2970008258940456E-4</v>
      </c>
      <c r="W13">
        <v>1.6326649832614187E-4</v>
      </c>
      <c r="X13">
        <v>-1.9104519575030674E-4</v>
      </c>
      <c r="Y13">
        <v>1.795016256811539E-4</v>
      </c>
      <c r="Z13">
        <v>-2.3723803880385018E-5</v>
      </c>
      <c r="AA13">
        <v>-2.1449840702196819E-4</v>
      </c>
      <c r="AB13">
        <v>1.5369927807688008E-4</v>
      </c>
      <c r="AC13">
        <v>7.6739270380913986E-5</v>
      </c>
      <c r="AD13">
        <v>-1.3411624186852183E-4</v>
      </c>
      <c r="AE13">
        <v>9.9494135433509344E-5</v>
      </c>
      <c r="AF13">
        <v>-1.2853668771438322E-2</v>
      </c>
    </row>
    <row r="14" spans="1:32" x14ac:dyDescent="0.2">
      <c r="A14" t="s">
        <v>47</v>
      </c>
      <c r="B14">
        <v>-6.5845208430301366E-2</v>
      </c>
      <c r="C14">
        <v>-1.5518119750960861E-4</v>
      </c>
      <c r="D14">
        <v>2.7035978605142227E-4</v>
      </c>
      <c r="E14">
        <v>-5.0103389523561536E-6</v>
      </c>
      <c r="F14">
        <v>1.7552040504485353E-4</v>
      </c>
      <c r="G14">
        <v>4.253319071301808E-4</v>
      </c>
      <c r="H14">
        <v>5.1117033293170025E-4</v>
      </c>
      <c r="I14">
        <v>-1.8202256515805035E-4</v>
      </c>
      <c r="J14">
        <v>-4.2287485381946495E-4</v>
      </c>
      <c r="K14">
        <v>6.0755013996446807E-5</v>
      </c>
      <c r="L14">
        <v>1.4006089278201304E-4</v>
      </c>
      <c r="M14">
        <v>-6.2464533415580075E-5</v>
      </c>
      <c r="N14">
        <v>1.1595328373386932E-4</v>
      </c>
      <c r="O14">
        <v>9.9149368375718513E-3</v>
      </c>
      <c r="P14">
        <v>2.567273496730933E-3</v>
      </c>
      <c r="Q14">
        <v>2.6256451612014491E-3</v>
      </c>
      <c r="R14">
        <v>2.6246265027976543E-3</v>
      </c>
      <c r="S14">
        <v>2.4624398276962894E-3</v>
      </c>
      <c r="T14">
        <v>2.5855034717257252E-3</v>
      </c>
      <c r="U14">
        <v>2.9859753387208609E-3</v>
      </c>
      <c r="V14">
        <v>2.7176783579207311E-3</v>
      </c>
      <c r="W14">
        <v>2.7274676973274396E-3</v>
      </c>
      <c r="X14">
        <v>2.6847055323008327E-3</v>
      </c>
      <c r="Y14">
        <v>2.7155185345051711E-3</v>
      </c>
      <c r="Z14">
        <v>5.1592949014432323E-5</v>
      </c>
      <c r="AA14">
        <v>-3.5310705837770324E-4</v>
      </c>
      <c r="AB14">
        <v>-3.4395539638530323E-4</v>
      </c>
      <c r="AC14">
        <v>8.8979808235138886E-4</v>
      </c>
      <c r="AD14">
        <v>4.0565538540560161E-3</v>
      </c>
      <c r="AE14">
        <v>6.8659941555399842E-4</v>
      </c>
      <c r="AF14">
        <v>-7.2514304522295061E-3</v>
      </c>
    </row>
    <row r="15" spans="1:32" x14ac:dyDescent="0.2">
      <c r="A15" t="s">
        <v>48</v>
      </c>
      <c r="B15">
        <v>0.1724664210154255</v>
      </c>
      <c r="C15">
        <v>1.6438002439310873E-4</v>
      </c>
      <c r="D15">
        <v>2.1916971269702375E-4</v>
      </c>
      <c r="E15">
        <v>-4.5763870343107333E-6</v>
      </c>
      <c r="F15">
        <v>7.8055030680211027E-5</v>
      </c>
      <c r="G15">
        <v>3.8750367103976713E-4</v>
      </c>
      <c r="H15">
        <v>2.9781773303741237E-4</v>
      </c>
      <c r="I15">
        <v>-1.284271105397982E-4</v>
      </c>
      <c r="J15">
        <v>-1.8912045783513014E-4</v>
      </c>
      <c r="K15">
        <v>-3.4285454008966187E-4</v>
      </c>
      <c r="L15">
        <v>-2.4104238801294026E-4</v>
      </c>
      <c r="M15">
        <v>1.638721466333537E-4</v>
      </c>
      <c r="N15">
        <v>1.3439879369998549E-4</v>
      </c>
      <c r="O15">
        <v>2.567273496730933E-3</v>
      </c>
      <c r="P15">
        <v>4.9501267289876949E-3</v>
      </c>
      <c r="Q15">
        <v>2.5688614904309228E-3</v>
      </c>
      <c r="R15">
        <v>2.5778947477880106E-3</v>
      </c>
      <c r="S15">
        <v>2.4596280268815848E-3</v>
      </c>
      <c r="T15">
        <v>2.5364596713868095E-3</v>
      </c>
      <c r="U15">
        <v>2.8697643524395597E-3</v>
      </c>
      <c r="V15">
        <v>2.618117187151426E-3</v>
      </c>
      <c r="W15">
        <v>2.7003034586811081E-3</v>
      </c>
      <c r="X15">
        <v>2.6283514772937168E-3</v>
      </c>
      <c r="Y15">
        <v>2.642263397170358E-3</v>
      </c>
      <c r="Z15">
        <v>6.2827188494834867E-5</v>
      </c>
      <c r="AA15">
        <v>-4.233351631569825E-4</v>
      </c>
      <c r="AB15">
        <v>-1.9207311703134215E-4</v>
      </c>
      <c r="AC15">
        <v>6.4891673791303572E-4</v>
      </c>
      <c r="AD15">
        <v>3.7078822696153496E-3</v>
      </c>
      <c r="AE15">
        <v>4.1027442714808337E-4</v>
      </c>
      <c r="AF15">
        <v>-6.4453537719291942E-3</v>
      </c>
    </row>
    <row r="16" spans="1:32" x14ac:dyDescent="0.2">
      <c r="A16" t="s">
        <v>49</v>
      </c>
      <c r="B16">
        <v>0.16029198427979835</v>
      </c>
      <c r="C16">
        <v>1.0584537154853108E-5</v>
      </c>
      <c r="D16">
        <v>3.3213247295292504E-4</v>
      </c>
      <c r="E16">
        <v>-6.4208637660390845E-6</v>
      </c>
      <c r="F16">
        <v>1.2257753311566014E-4</v>
      </c>
      <c r="G16">
        <v>2.3291613436451247E-4</v>
      </c>
      <c r="H16">
        <v>3.2096454713893103E-4</v>
      </c>
      <c r="I16">
        <v>8.4685382186810119E-5</v>
      </c>
      <c r="J16">
        <v>7.2347178632766948E-5</v>
      </c>
      <c r="K16">
        <v>3.9354669029089198E-5</v>
      </c>
      <c r="L16">
        <v>-3.7503622150267214E-5</v>
      </c>
      <c r="M16">
        <v>3.2231913275933104E-4</v>
      </c>
      <c r="N16">
        <v>2.9894130618748937E-4</v>
      </c>
      <c r="O16">
        <v>2.6256451612014491E-3</v>
      </c>
      <c r="P16">
        <v>2.5688614904309228E-3</v>
      </c>
      <c r="Q16">
        <v>5.070226636215272E-3</v>
      </c>
      <c r="R16">
        <v>2.6225698166148078E-3</v>
      </c>
      <c r="S16">
        <v>2.4888436038572434E-3</v>
      </c>
      <c r="T16">
        <v>2.5897686854287633E-3</v>
      </c>
      <c r="U16">
        <v>2.9193289479566907E-3</v>
      </c>
      <c r="V16">
        <v>2.696354592348107E-3</v>
      </c>
      <c r="W16">
        <v>2.7313241297135236E-3</v>
      </c>
      <c r="X16">
        <v>2.6945492957707916E-3</v>
      </c>
      <c r="Y16">
        <v>2.6484323624467389E-3</v>
      </c>
      <c r="Z16">
        <v>2.246368805858891E-5</v>
      </c>
      <c r="AA16">
        <v>-2.4282462438065356E-4</v>
      </c>
      <c r="AB16">
        <v>2.0759784063239032E-4</v>
      </c>
      <c r="AC16">
        <v>8.0616989676828899E-4</v>
      </c>
      <c r="AD16">
        <v>3.7673529644966573E-3</v>
      </c>
      <c r="AE16">
        <v>6.6304719259551229E-4</v>
      </c>
      <c r="AF16">
        <v>-7.5387876767910858E-3</v>
      </c>
    </row>
    <row r="17" spans="1:32" x14ac:dyDescent="0.2">
      <c r="A17" t="s">
        <v>50</v>
      </c>
      <c r="B17">
        <v>6.8786874278629048E-2</v>
      </c>
      <c r="C17">
        <v>1.0874507537759537E-5</v>
      </c>
      <c r="D17">
        <v>2.4525505148173077E-4</v>
      </c>
      <c r="E17">
        <v>-4.7740958425916878E-6</v>
      </c>
      <c r="F17">
        <v>2.1272113071326137E-4</v>
      </c>
      <c r="G17">
        <v>2.0437215978712684E-4</v>
      </c>
      <c r="H17">
        <v>2.4491604112473233E-4</v>
      </c>
      <c r="I17">
        <v>-8.1775848537485253E-5</v>
      </c>
      <c r="J17">
        <v>-2.2824039109449045E-4</v>
      </c>
      <c r="K17">
        <v>-2.6979754605442456E-4</v>
      </c>
      <c r="L17">
        <v>-2.617285041597436E-4</v>
      </c>
      <c r="M17">
        <v>-9.9778175767122231E-5</v>
      </c>
      <c r="N17">
        <v>-9.1208594492759882E-5</v>
      </c>
      <c r="O17">
        <v>2.6246265027976543E-3</v>
      </c>
      <c r="P17">
        <v>2.5778947477880106E-3</v>
      </c>
      <c r="Q17">
        <v>2.6225698166148078E-3</v>
      </c>
      <c r="R17">
        <v>5.1697186860244701E-3</v>
      </c>
      <c r="S17">
        <v>2.5103699081951954E-3</v>
      </c>
      <c r="T17">
        <v>2.6055996575289116E-3</v>
      </c>
      <c r="U17">
        <v>2.959483232836162E-3</v>
      </c>
      <c r="V17">
        <v>2.7170564470864389E-3</v>
      </c>
      <c r="W17">
        <v>2.7446655793033144E-3</v>
      </c>
      <c r="X17">
        <v>2.6816220525211452E-3</v>
      </c>
      <c r="Y17">
        <v>2.6832672754183431E-3</v>
      </c>
      <c r="Z17">
        <v>1.800303266955586E-5</v>
      </c>
      <c r="AA17">
        <v>-7.659131535820503E-5</v>
      </c>
      <c r="AB17">
        <v>-8.6264400349708151E-5</v>
      </c>
      <c r="AC17">
        <v>8.1760394751967435E-4</v>
      </c>
      <c r="AD17">
        <v>3.8455019985997188E-3</v>
      </c>
      <c r="AE17">
        <v>5.6015941288022704E-4</v>
      </c>
      <c r="AF17">
        <v>-6.0338518062310045E-3</v>
      </c>
    </row>
    <row r="18" spans="1:32" x14ac:dyDescent="0.2">
      <c r="A18" t="s">
        <v>51</v>
      </c>
      <c r="B18">
        <v>5.3215523672966482E-2</v>
      </c>
      <c r="C18">
        <v>5.9699405613376937E-5</v>
      </c>
      <c r="D18">
        <v>2.2247914151556688E-4</v>
      </c>
      <c r="E18">
        <v>-4.4638876930895414E-6</v>
      </c>
      <c r="F18">
        <v>1.0686815838039472E-5</v>
      </c>
      <c r="G18">
        <v>2.3964805423722774E-4</v>
      </c>
      <c r="H18">
        <v>-8.2862081123015485E-5</v>
      </c>
      <c r="I18">
        <v>-1.6426467398692433E-4</v>
      </c>
      <c r="J18">
        <v>-1.0352144696692167E-4</v>
      </c>
      <c r="K18">
        <v>-2.8655286503314465E-4</v>
      </c>
      <c r="L18">
        <v>-1.9962571270778465E-4</v>
      </c>
      <c r="M18">
        <v>-1.0914618536139254E-4</v>
      </c>
      <c r="N18">
        <v>-2.7246929618562551E-8</v>
      </c>
      <c r="O18">
        <v>2.4624398276962894E-3</v>
      </c>
      <c r="P18">
        <v>2.4596280268815848E-3</v>
      </c>
      <c r="Q18">
        <v>2.4888436038572434E-3</v>
      </c>
      <c r="R18">
        <v>2.5103699081951954E-3</v>
      </c>
      <c r="S18">
        <v>5.4562262158131328E-3</v>
      </c>
      <c r="T18">
        <v>2.4798233419535782E-3</v>
      </c>
      <c r="U18">
        <v>2.816429699179797E-3</v>
      </c>
      <c r="V18">
        <v>2.5560997751373272E-3</v>
      </c>
      <c r="W18">
        <v>2.6073238171191006E-3</v>
      </c>
      <c r="X18">
        <v>2.5381024809862309E-3</v>
      </c>
      <c r="Y18">
        <v>2.5546710483979303E-3</v>
      </c>
      <c r="Z18">
        <v>4.9072342301874176E-5</v>
      </c>
      <c r="AA18">
        <v>-3.8404948452489359E-4</v>
      </c>
      <c r="AB18">
        <v>-2.7234036827245402E-4</v>
      </c>
      <c r="AC18">
        <v>2.3603575976263941E-4</v>
      </c>
      <c r="AD18">
        <v>3.7007543919348506E-3</v>
      </c>
      <c r="AE18">
        <v>2.2952962553594985E-4</v>
      </c>
      <c r="AF18">
        <v>-6.0445062227236987E-3</v>
      </c>
    </row>
    <row r="19" spans="1:32" x14ac:dyDescent="0.2">
      <c r="A19" t="s">
        <v>52</v>
      </c>
      <c r="B19">
        <v>1.8853131291135767E-2</v>
      </c>
      <c r="C19">
        <v>-3.17716084350302E-5</v>
      </c>
      <c r="D19">
        <v>2.9151588484872641E-4</v>
      </c>
      <c r="E19">
        <v>-5.5002422869351012E-6</v>
      </c>
      <c r="F19">
        <v>-4.8702772164558174E-5</v>
      </c>
      <c r="G19">
        <v>1.8255517519545926E-4</v>
      </c>
      <c r="H19">
        <v>-1.5866347838962679E-4</v>
      </c>
      <c r="I19">
        <v>1.328094682647641E-4</v>
      </c>
      <c r="J19">
        <v>9.4101484283094067E-5</v>
      </c>
      <c r="K19">
        <v>-5.2620313204625505E-5</v>
      </c>
      <c r="L19">
        <v>-1.2065154193470376E-4</v>
      </c>
      <c r="M19">
        <v>-5.0768722785144316E-5</v>
      </c>
      <c r="N19">
        <v>2.3897692962988502E-4</v>
      </c>
      <c r="O19">
        <v>2.5855034717257252E-3</v>
      </c>
      <c r="P19">
        <v>2.5364596713868095E-3</v>
      </c>
      <c r="Q19">
        <v>2.5897686854287633E-3</v>
      </c>
      <c r="R19">
        <v>2.6055996575289116E-3</v>
      </c>
      <c r="S19">
        <v>2.4798233419535782E-3</v>
      </c>
      <c r="T19">
        <v>5.1375655572382497E-3</v>
      </c>
      <c r="U19">
        <v>2.9060138536135573E-3</v>
      </c>
      <c r="V19">
        <v>2.70484856210357E-3</v>
      </c>
      <c r="W19">
        <v>2.7213651129129957E-3</v>
      </c>
      <c r="X19">
        <v>2.675017200459746E-3</v>
      </c>
      <c r="Y19">
        <v>2.6708983741685886E-3</v>
      </c>
      <c r="Z19">
        <v>1.5106799700613863E-5</v>
      </c>
      <c r="AA19">
        <v>-9.2020964525866596E-5</v>
      </c>
      <c r="AB19">
        <v>2.3081891506092573E-6</v>
      </c>
      <c r="AC19">
        <v>8.5620122231747661E-4</v>
      </c>
      <c r="AD19">
        <v>3.4918990804818223E-3</v>
      </c>
      <c r="AE19">
        <v>4.6633034542557621E-4</v>
      </c>
      <c r="AF19">
        <v>-6.7712057912676094E-3</v>
      </c>
    </row>
    <row r="20" spans="1:32" x14ac:dyDescent="0.2">
      <c r="A20" t="s">
        <v>53</v>
      </c>
      <c r="B20">
        <v>-3.8043083291995198E-3</v>
      </c>
      <c r="C20">
        <v>-5.1570223737255335E-5</v>
      </c>
      <c r="D20">
        <v>2.2378493368000298E-4</v>
      </c>
      <c r="E20">
        <v>-4.440458968954576E-6</v>
      </c>
      <c r="F20">
        <v>3.4230433020442964E-4</v>
      </c>
      <c r="G20">
        <v>4.3970249710405078E-4</v>
      </c>
      <c r="H20">
        <v>2.004547057272288E-4</v>
      </c>
      <c r="I20">
        <v>-1.9874842424585232E-4</v>
      </c>
      <c r="J20">
        <v>-2.9382869025585973E-5</v>
      </c>
      <c r="K20">
        <v>-1.0007578409823863E-4</v>
      </c>
      <c r="L20">
        <v>-1.871013374193911E-4</v>
      </c>
      <c r="M20">
        <v>1.8623961052578806E-4</v>
      </c>
      <c r="N20">
        <v>4.0710872103359372E-5</v>
      </c>
      <c r="O20">
        <v>2.9859753387208609E-3</v>
      </c>
      <c r="P20">
        <v>2.8697643524395597E-3</v>
      </c>
      <c r="Q20">
        <v>2.9193289479566907E-3</v>
      </c>
      <c r="R20">
        <v>2.959483232836162E-3</v>
      </c>
      <c r="S20">
        <v>2.816429699179797E-3</v>
      </c>
      <c r="T20">
        <v>2.9060138536135573E-3</v>
      </c>
      <c r="U20">
        <v>5.2830573762295985E-3</v>
      </c>
      <c r="V20">
        <v>3.0461831173825833E-3</v>
      </c>
      <c r="W20">
        <v>3.1010174273136586E-3</v>
      </c>
      <c r="X20">
        <v>3.0635706954031034E-3</v>
      </c>
      <c r="Y20">
        <v>3.0660385396003372E-3</v>
      </c>
      <c r="Z20">
        <v>4.2782078688223416E-5</v>
      </c>
      <c r="AA20">
        <v>-3.1570827992507086E-4</v>
      </c>
      <c r="AB20">
        <v>-2.4902419424699179E-4</v>
      </c>
      <c r="AC20">
        <v>1.0130821971961923E-3</v>
      </c>
      <c r="AD20">
        <v>6.2246576671146307E-3</v>
      </c>
      <c r="AE20">
        <v>6.9089281090231581E-4</v>
      </c>
      <c r="AF20">
        <v>-6.7438437146013636E-3</v>
      </c>
    </row>
    <row r="21" spans="1:32" x14ac:dyDescent="0.2">
      <c r="A21" t="s">
        <v>54</v>
      </c>
      <c r="B21">
        <v>0.18863688864436345</v>
      </c>
      <c r="C21">
        <v>4.1294202976521565E-5</v>
      </c>
      <c r="D21">
        <v>2.8890468514017505E-4</v>
      </c>
      <c r="E21">
        <v>-5.5117995684714827E-6</v>
      </c>
      <c r="F21">
        <v>-1.9939031848564977E-5</v>
      </c>
      <c r="G21">
        <v>1.1515613050996145E-4</v>
      </c>
      <c r="H21">
        <v>8.4604449254287043E-5</v>
      </c>
      <c r="I21">
        <v>1.0485499664513007E-4</v>
      </c>
      <c r="J21">
        <v>8.9401227003476367E-6</v>
      </c>
      <c r="K21">
        <v>1.0283148016395586E-4</v>
      </c>
      <c r="L21">
        <v>-3.8076447667099197E-5</v>
      </c>
      <c r="M21">
        <v>1.0554757078293502E-4</v>
      </c>
      <c r="N21">
        <v>1.2970008258940456E-4</v>
      </c>
      <c r="O21">
        <v>2.7176783579207311E-3</v>
      </c>
      <c r="P21">
        <v>2.618117187151426E-3</v>
      </c>
      <c r="Q21">
        <v>2.696354592348107E-3</v>
      </c>
      <c r="R21">
        <v>2.7170564470864389E-3</v>
      </c>
      <c r="S21">
        <v>2.5560997751373272E-3</v>
      </c>
      <c r="T21">
        <v>2.70484856210357E-3</v>
      </c>
      <c r="U21">
        <v>3.0461831173825833E-3</v>
      </c>
      <c r="V21">
        <v>5.7064119395708705E-3</v>
      </c>
      <c r="W21">
        <v>2.8259233744569053E-3</v>
      </c>
      <c r="X21">
        <v>2.8051674696315215E-3</v>
      </c>
      <c r="Y21">
        <v>2.7722830852368869E-3</v>
      </c>
      <c r="Z21">
        <v>2.2936764694637621E-5</v>
      </c>
      <c r="AA21">
        <v>-1.4000460067922147E-4</v>
      </c>
      <c r="AB21">
        <v>9.2200925205100431E-5</v>
      </c>
      <c r="AC21">
        <v>9.7741732400680138E-4</v>
      </c>
      <c r="AD21">
        <v>4.054084338937166E-3</v>
      </c>
      <c r="AE21">
        <v>8.5145815746774092E-4</v>
      </c>
      <c r="AF21">
        <v>-7.0156974466537413E-3</v>
      </c>
    </row>
    <row r="22" spans="1:32" x14ac:dyDescent="0.2">
      <c r="A22" t="s">
        <v>55</v>
      </c>
      <c r="B22">
        <v>-1.0326579922950265E-2</v>
      </c>
      <c r="C22">
        <v>-1.5039910363573726E-5</v>
      </c>
      <c r="D22">
        <v>2.1055904214640304E-4</v>
      </c>
      <c r="E22">
        <v>-4.3484124492864855E-6</v>
      </c>
      <c r="F22">
        <v>4.4493988832416823E-5</v>
      </c>
      <c r="G22">
        <v>2.3546423936171882E-4</v>
      </c>
      <c r="H22">
        <v>-2.7289333462904753E-4</v>
      </c>
      <c r="I22">
        <v>-1.9790987203512946E-5</v>
      </c>
      <c r="J22">
        <v>-2.1595351636569159E-5</v>
      </c>
      <c r="K22">
        <v>-2.721437283371628E-4</v>
      </c>
      <c r="L22">
        <v>-1.4170826613508895E-4</v>
      </c>
      <c r="M22">
        <v>2.200473252449459E-4</v>
      </c>
      <c r="N22">
        <v>1.6326649832614187E-4</v>
      </c>
      <c r="O22">
        <v>2.7274676973274396E-3</v>
      </c>
      <c r="P22">
        <v>2.7003034586811081E-3</v>
      </c>
      <c r="Q22">
        <v>2.7313241297135236E-3</v>
      </c>
      <c r="R22">
        <v>2.7446655793033144E-3</v>
      </c>
      <c r="S22">
        <v>2.6073238171191006E-3</v>
      </c>
      <c r="T22">
        <v>2.7213651129129957E-3</v>
      </c>
      <c r="U22">
        <v>3.1010174273136586E-3</v>
      </c>
      <c r="V22">
        <v>2.8259233744569053E-3</v>
      </c>
      <c r="W22">
        <v>6.4786314206327173E-3</v>
      </c>
      <c r="X22">
        <v>2.7914835746701795E-3</v>
      </c>
      <c r="Y22">
        <v>2.8506044108713964E-3</v>
      </c>
      <c r="Z22">
        <v>3.4645424818562033E-5</v>
      </c>
      <c r="AA22">
        <v>-2.5834032404687031E-4</v>
      </c>
      <c r="AB22">
        <v>-5.6721182092926595E-5</v>
      </c>
      <c r="AC22">
        <v>1.0001953792593257E-3</v>
      </c>
      <c r="AD22">
        <v>4.2272320444078897E-3</v>
      </c>
      <c r="AE22">
        <v>7.9038415585961351E-4</v>
      </c>
      <c r="AF22">
        <v>-6.0112535133037453E-3</v>
      </c>
    </row>
    <row r="23" spans="1:32" x14ac:dyDescent="0.2">
      <c r="A23" t="s">
        <v>56</v>
      </c>
      <c r="B23">
        <v>0.12724499658639862</v>
      </c>
      <c r="C23">
        <v>-1.4977656740297909E-5</v>
      </c>
      <c r="D23">
        <v>4.0755150323206878E-4</v>
      </c>
      <c r="E23">
        <v>-7.3780212921750403E-6</v>
      </c>
      <c r="F23">
        <v>4.8886398706562344E-4</v>
      </c>
      <c r="G23">
        <v>4.6663588295345489E-4</v>
      </c>
      <c r="H23">
        <v>2.5721441367793253E-4</v>
      </c>
      <c r="I23">
        <v>-4.359535474469853E-4</v>
      </c>
      <c r="J23">
        <v>-3.0335970941066054E-4</v>
      </c>
      <c r="K23">
        <v>1.0489516307844379E-4</v>
      </c>
      <c r="L23">
        <v>-4.2082317678259395E-4</v>
      </c>
      <c r="M23">
        <v>-1.7493195207108866E-4</v>
      </c>
      <c r="N23">
        <v>-1.9104519575030674E-4</v>
      </c>
      <c r="O23">
        <v>2.6847055323008327E-3</v>
      </c>
      <c r="P23">
        <v>2.6283514772937168E-3</v>
      </c>
      <c r="Q23">
        <v>2.6945492957707916E-3</v>
      </c>
      <c r="R23">
        <v>2.6816220525211452E-3</v>
      </c>
      <c r="S23">
        <v>2.5381024809862309E-3</v>
      </c>
      <c r="T23">
        <v>2.675017200459746E-3</v>
      </c>
      <c r="U23">
        <v>3.0635706954031034E-3</v>
      </c>
      <c r="V23">
        <v>2.8051674696315215E-3</v>
      </c>
      <c r="W23">
        <v>2.7914835746701795E-3</v>
      </c>
      <c r="X23">
        <v>5.8121901559384011E-3</v>
      </c>
      <c r="Y23">
        <v>2.7627597068259125E-3</v>
      </c>
      <c r="Z23">
        <v>4.6739160434848689E-5</v>
      </c>
      <c r="AA23">
        <v>-2.7368782160690393E-4</v>
      </c>
      <c r="AB23">
        <v>-1.8939535630621898E-4</v>
      </c>
      <c r="AC23">
        <v>9.7691360025170884E-4</v>
      </c>
      <c r="AD23">
        <v>4.0626064447288907E-3</v>
      </c>
      <c r="AE23">
        <v>6.2913858855752933E-4</v>
      </c>
      <c r="AF23">
        <v>-9.0350103890662024E-3</v>
      </c>
    </row>
    <row r="24" spans="1:32" x14ac:dyDescent="0.2">
      <c r="A24" t="s">
        <v>57</v>
      </c>
      <c r="B24">
        <v>-0.12941144766228052</v>
      </c>
      <c r="C24">
        <v>6.0594841515406372E-5</v>
      </c>
      <c r="D24">
        <v>8.9189338162821465E-5</v>
      </c>
      <c r="E24">
        <v>-1.9618617589534256E-6</v>
      </c>
      <c r="F24">
        <v>3.0788493923716506E-5</v>
      </c>
      <c r="G24">
        <v>2.7453127911703261E-4</v>
      </c>
      <c r="H24">
        <v>-1.5137127251235272E-4</v>
      </c>
      <c r="I24">
        <v>-4.5690767164797974E-5</v>
      </c>
      <c r="J24">
        <v>-4.8778623024442122E-5</v>
      </c>
      <c r="K24">
        <v>-3.0747806066376646E-5</v>
      </c>
      <c r="L24">
        <v>-7.0070697931982374E-5</v>
      </c>
      <c r="M24">
        <v>1.5378535548172482E-4</v>
      </c>
      <c r="N24">
        <v>1.795016256811539E-4</v>
      </c>
      <c r="O24">
        <v>2.7155185345051711E-3</v>
      </c>
      <c r="P24">
        <v>2.642263397170358E-3</v>
      </c>
      <c r="Q24">
        <v>2.6484323624467389E-3</v>
      </c>
      <c r="R24">
        <v>2.6832672754183431E-3</v>
      </c>
      <c r="S24">
        <v>2.5546710483979303E-3</v>
      </c>
      <c r="T24">
        <v>2.6708983741685886E-3</v>
      </c>
      <c r="U24">
        <v>3.0660385396003372E-3</v>
      </c>
      <c r="V24">
        <v>2.7722830852368869E-3</v>
      </c>
      <c r="W24">
        <v>2.8506044108713964E-3</v>
      </c>
      <c r="X24">
        <v>2.7627597068259125E-3</v>
      </c>
      <c r="Y24">
        <v>5.4580068535017498E-3</v>
      </c>
      <c r="Z24">
        <v>1.7385506305670617E-5</v>
      </c>
      <c r="AA24">
        <v>-2.532919261338236E-4</v>
      </c>
      <c r="AB24">
        <v>-1.4105978441624411E-4</v>
      </c>
      <c r="AC24">
        <v>1.0854516708666108E-3</v>
      </c>
      <c r="AD24">
        <v>4.196126647466168E-3</v>
      </c>
      <c r="AE24">
        <v>7.2922057288450442E-4</v>
      </c>
      <c r="AF24">
        <v>-4.2619176919021047E-3</v>
      </c>
    </row>
    <row r="25" spans="1:32" x14ac:dyDescent="0.2">
      <c r="A25" t="s">
        <v>24</v>
      </c>
      <c r="B25">
        <v>-1.4739123620402507E-2</v>
      </c>
      <c r="C25">
        <v>6.5302543672331349E-7</v>
      </c>
      <c r="D25">
        <v>5.5465381527885441E-6</v>
      </c>
      <c r="E25">
        <v>-1.0277630215364659E-7</v>
      </c>
      <c r="F25">
        <v>5.1608625830753402E-5</v>
      </c>
      <c r="G25">
        <v>2.939477655597802E-5</v>
      </c>
      <c r="H25">
        <v>2.8983402962159954E-6</v>
      </c>
      <c r="I25">
        <v>-3.7555828676380651E-5</v>
      </c>
      <c r="J25">
        <v>-2.2044062251074231E-5</v>
      </c>
      <c r="K25">
        <v>-2.3510275670958957E-6</v>
      </c>
      <c r="L25">
        <v>-1.0530293780850906E-5</v>
      </c>
      <c r="M25">
        <v>6.5363914788759206E-6</v>
      </c>
      <c r="N25">
        <v>-2.3723803880385018E-5</v>
      </c>
      <c r="O25">
        <v>5.1592949014432323E-5</v>
      </c>
      <c r="P25">
        <v>6.2827188494834867E-5</v>
      </c>
      <c r="Q25">
        <v>2.246368805858891E-5</v>
      </c>
      <c r="R25">
        <v>1.800303266955586E-5</v>
      </c>
      <c r="S25">
        <v>4.9072342301874176E-5</v>
      </c>
      <c r="T25">
        <v>1.5106799700613863E-5</v>
      </c>
      <c r="U25">
        <v>4.2782078688223416E-5</v>
      </c>
      <c r="V25">
        <v>2.2936764694637621E-5</v>
      </c>
      <c r="W25">
        <v>3.4645424818562033E-5</v>
      </c>
      <c r="X25">
        <v>4.6739160434848689E-5</v>
      </c>
      <c r="Y25">
        <v>1.7385506305670617E-5</v>
      </c>
      <c r="Z25">
        <v>2.4431235563152105E-5</v>
      </c>
      <c r="AA25">
        <v>-1.0668753286387319E-4</v>
      </c>
      <c r="AB25">
        <v>-1.2822588938416903E-4</v>
      </c>
      <c r="AC25">
        <v>-2.191799180043891E-5</v>
      </c>
      <c r="AD25">
        <v>1.6061840862529979E-4</v>
      </c>
      <c r="AE25">
        <v>-3.0810460231409533E-5</v>
      </c>
      <c r="AF25">
        <v>-4.9690474542343353E-4</v>
      </c>
    </row>
    <row r="26" spans="1:32" x14ac:dyDescent="0.2">
      <c r="A26" t="s">
        <v>25</v>
      </c>
      <c r="B26">
        <v>0.11020020000248411</v>
      </c>
      <c r="C26">
        <v>4.3492316941393435E-5</v>
      </c>
      <c r="D26">
        <v>-1.7573168730093078E-6</v>
      </c>
      <c r="E26">
        <v>-1.9788895121133291E-8</v>
      </c>
      <c r="F26">
        <v>-1.1134448375720069E-5</v>
      </c>
      <c r="G26">
        <v>-1.4976418133007683E-4</v>
      </c>
      <c r="H26">
        <v>8.1238770248995631E-5</v>
      </c>
      <c r="I26">
        <v>-8.6283811761387873E-5</v>
      </c>
      <c r="J26">
        <v>-1.3068494898038077E-4</v>
      </c>
      <c r="K26">
        <v>-1.5745810876444468E-4</v>
      </c>
      <c r="L26">
        <v>-1.6267952328967788E-4</v>
      </c>
      <c r="M26">
        <v>-2.0573075219418378E-4</v>
      </c>
      <c r="N26">
        <v>-2.1449840702196819E-4</v>
      </c>
      <c r="O26">
        <v>-3.5310705837770324E-4</v>
      </c>
      <c r="P26">
        <v>-4.233351631569825E-4</v>
      </c>
      <c r="Q26">
        <v>-2.4282462438065356E-4</v>
      </c>
      <c r="R26">
        <v>-7.659131535820503E-5</v>
      </c>
      <c r="S26">
        <v>-3.8404948452489359E-4</v>
      </c>
      <c r="T26">
        <v>-9.2020964525866596E-5</v>
      </c>
      <c r="U26">
        <v>-3.1570827992507086E-4</v>
      </c>
      <c r="V26">
        <v>-1.4000460067922147E-4</v>
      </c>
      <c r="W26">
        <v>-2.5834032404687031E-4</v>
      </c>
      <c r="X26">
        <v>-2.7368782160690393E-4</v>
      </c>
      <c r="Y26">
        <v>-2.532919261338236E-4</v>
      </c>
      <c r="Z26">
        <v>-1.0668753286387319E-4</v>
      </c>
      <c r="AA26">
        <v>4.0066930871554031E-3</v>
      </c>
      <c r="AB26">
        <v>7.9538159568237393E-4</v>
      </c>
      <c r="AC26">
        <v>-1.4349466299932024E-5</v>
      </c>
      <c r="AD26">
        <v>-9.0025848297933049E-4</v>
      </c>
      <c r="AE26">
        <v>8.1312700733147556E-4</v>
      </c>
      <c r="AF26">
        <v>1.9630668412880495E-3</v>
      </c>
    </row>
    <row r="27" spans="1:32" x14ac:dyDescent="0.2">
      <c r="A27" t="s">
        <v>26</v>
      </c>
      <c r="B27">
        <v>8.4344972357574252E-2</v>
      </c>
      <c r="C27">
        <v>2.1021733859953292E-5</v>
      </c>
      <c r="D27">
        <v>-4.6726338553173966E-5</v>
      </c>
      <c r="E27">
        <v>6.4379934628561151E-7</v>
      </c>
      <c r="F27">
        <v>-4.3743892798607672E-5</v>
      </c>
      <c r="G27">
        <v>-5.0201176582686667E-5</v>
      </c>
      <c r="H27">
        <v>-2.0613297126221685E-5</v>
      </c>
      <c r="I27">
        <v>2.1894137232944359E-5</v>
      </c>
      <c r="J27">
        <v>2.8965319935718371E-5</v>
      </c>
      <c r="K27">
        <v>-2.7678162264339065E-5</v>
      </c>
      <c r="L27">
        <v>1.3111708089882761E-4</v>
      </c>
      <c r="M27">
        <v>7.5137056719489534E-5</v>
      </c>
      <c r="N27">
        <v>1.5369927807688008E-4</v>
      </c>
      <c r="O27">
        <v>-3.4395539638530323E-4</v>
      </c>
      <c r="P27">
        <v>-1.9207311703134215E-4</v>
      </c>
      <c r="Q27">
        <v>2.0759784063239032E-4</v>
      </c>
      <c r="R27">
        <v>-8.6264400349708151E-5</v>
      </c>
      <c r="S27">
        <v>-2.7234036827245402E-4</v>
      </c>
      <c r="T27">
        <v>2.3081891506092573E-6</v>
      </c>
      <c r="U27">
        <v>-2.4902419424699179E-4</v>
      </c>
      <c r="V27">
        <v>9.2200925205100431E-5</v>
      </c>
      <c r="W27">
        <v>-5.6721182092926595E-5</v>
      </c>
      <c r="X27">
        <v>-1.8939535630621898E-4</v>
      </c>
      <c r="Y27">
        <v>-1.4105978441624411E-4</v>
      </c>
      <c r="Z27">
        <v>-1.2822588938416903E-4</v>
      </c>
      <c r="AA27">
        <v>7.9538159568237393E-4</v>
      </c>
      <c r="AB27">
        <v>4.4577794255384945E-3</v>
      </c>
      <c r="AC27">
        <v>3.7629052355875455E-5</v>
      </c>
      <c r="AD27">
        <v>-8.7583067108483481E-4</v>
      </c>
      <c r="AE27">
        <v>5.7965814224201942E-5</v>
      </c>
      <c r="AF27">
        <v>2.5807902245208233E-3</v>
      </c>
    </row>
    <row r="28" spans="1:32" x14ac:dyDescent="0.2">
      <c r="A28" t="s">
        <v>60</v>
      </c>
      <c r="B28">
        <v>-0.47982282527805076</v>
      </c>
      <c r="C28">
        <v>-2.0599383813808125E-5</v>
      </c>
      <c r="D28">
        <v>-5.142114477722174E-5</v>
      </c>
      <c r="E28">
        <v>7.8005903958297182E-7</v>
      </c>
      <c r="F28">
        <v>1.2690773982464154E-5</v>
      </c>
      <c r="G28">
        <v>3.2553682570857223E-4</v>
      </c>
      <c r="H28">
        <v>4.7934255913672369E-4</v>
      </c>
      <c r="I28">
        <v>2.4296540258967377E-4</v>
      </c>
      <c r="J28">
        <v>1.1857043577067402E-4</v>
      </c>
      <c r="K28">
        <v>1.9642548064530141E-4</v>
      </c>
      <c r="L28">
        <v>2.8942878634062585E-4</v>
      </c>
      <c r="M28">
        <v>3.5175900263563356E-4</v>
      </c>
      <c r="N28">
        <v>7.6739270380913986E-5</v>
      </c>
      <c r="O28">
        <v>8.8979808235138886E-4</v>
      </c>
      <c r="P28">
        <v>6.4891673791303572E-4</v>
      </c>
      <c r="Q28">
        <v>8.0616989676828899E-4</v>
      </c>
      <c r="R28">
        <v>8.1760394751967435E-4</v>
      </c>
      <c r="S28">
        <v>2.3603575976263941E-4</v>
      </c>
      <c r="T28">
        <v>8.5620122231747661E-4</v>
      </c>
      <c r="U28">
        <v>1.0130821971961923E-3</v>
      </c>
      <c r="V28">
        <v>9.7741732400680138E-4</v>
      </c>
      <c r="W28">
        <v>1.0001953792593257E-3</v>
      </c>
      <c r="X28">
        <v>9.7691360025170884E-4</v>
      </c>
      <c r="Y28">
        <v>1.0854516708666108E-3</v>
      </c>
      <c r="Z28">
        <v>-2.191799180043891E-5</v>
      </c>
      <c r="AA28">
        <v>-1.4349466299932024E-5</v>
      </c>
      <c r="AB28">
        <v>3.7629052355875455E-5</v>
      </c>
      <c r="AC28">
        <v>3.8026550845294592E-3</v>
      </c>
      <c r="AD28">
        <v>1.6076323219412388E-3</v>
      </c>
      <c r="AE28">
        <v>5.6155908132599693E-4</v>
      </c>
      <c r="AF28">
        <v>-4.1191019213818896E-4</v>
      </c>
    </row>
    <row r="29" spans="1:32" x14ac:dyDescent="0.2">
      <c r="A29" t="s">
        <v>61</v>
      </c>
      <c r="B29">
        <v>-0.20440520498978287</v>
      </c>
      <c r="C29">
        <v>-4.7149176486760121E-4</v>
      </c>
      <c r="D29">
        <v>2.5038700768578726E-4</v>
      </c>
      <c r="E29">
        <v>-5.7861282063398334E-6</v>
      </c>
      <c r="F29">
        <v>9.4297749891250355E-4</v>
      </c>
      <c r="G29">
        <v>9.9584875002149773E-4</v>
      </c>
      <c r="H29">
        <v>7.0980837334844215E-4</v>
      </c>
      <c r="I29">
        <v>-6.6136095847599448E-4</v>
      </c>
      <c r="J29">
        <v>-3.9227205058563631E-4</v>
      </c>
      <c r="K29">
        <v>-1.3283565489404219E-4</v>
      </c>
      <c r="L29">
        <v>-3.0057455987165908E-4</v>
      </c>
      <c r="M29">
        <v>9.3745277932582183E-4</v>
      </c>
      <c r="N29">
        <v>-1.3411624186852183E-4</v>
      </c>
      <c r="O29">
        <v>4.0565538540560161E-3</v>
      </c>
      <c r="P29">
        <v>3.7078822696153496E-3</v>
      </c>
      <c r="Q29">
        <v>3.7673529644966573E-3</v>
      </c>
      <c r="R29">
        <v>3.8455019985997188E-3</v>
      </c>
      <c r="S29">
        <v>3.7007543919348506E-3</v>
      </c>
      <c r="T29">
        <v>3.4918990804818223E-3</v>
      </c>
      <c r="U29">
        <v>6.2246576671146307E-3</v>
      </c>
      <c r="V29">
        <v>4.054084338937166E-3</v>
      </c>
      <c r="W29">
        <v>4.2272320444078897E-3</v>
      </c>
      <c r="X29">
        <v>4.0626064447288907E-3</v>
      </c>
      <c r="Y29">
        <v>4.196126647466168E-3</v>
      </c>
      <c r="Z29">
        <v>1.6061840862529979E-4</v>
      </c>
      <c r="AA29">
        <v>-9.0025848297933049E-4</v>
      </c>
      <c r="AB29">
        <v>-8.7583067108483481E-4</v>
      </c>
      <c r="AC29">
        <v>1.6076323219412388E-3</v>
      </c>
      <c r="AD29">
        <v>2.2148300869664954E-2</v>
      </c>
      <c r="AE29">
        <v>1.4730329928058681E-3</v>
      </c>
      <c r="AF29">
        <v>-9.8627648502553657E-3</v>
      </c>
    </row>
    <row r="30" spans="1:32" x14ac:dyDescent="0.2">
      <c r="A30" t="s">
        <v>62</v>
      </c>
      <c r="B30">
        <v>-0.20992770628085838</v>
      </c>
      <c r="C30">
        <v>-2.4216010275012957E-5</v>
      </c>
      <c r="D30">
        <v>3.1623440649696574E-5</v>
      </c>
      <c r="E30">
        <v>-1.0915277513786161E-6</v>
      </c>
      <c r="F30">
        <v>-1.6788434318724412E-4</v>
      </c>
      <c r="G30">
        <v>-9.529260626358043E-5</v>
      </c>
      <c r="H30">
        <v>-5.4739881428427959E-5</v>
      </c>
      <c r="I30">
        <v>-5.7073530645195577E-5</v>
      </c>
      <c r="J30">
        <v>-4.0313732663280243E-5</v>
      </c>
      <c r="K30">
        <v>-3.678219805358803E-5</v>
      </c>
      <c r="L30">
        <v>6.7566419637365245E-5</v>
      </c>
      <c r="M30">
        <v>2.8017165294494731E-4</v>
      </c>
      <c r="N30">
        <v>9.9494135433509344E-5</v>
      </c>
      <c r="O30">
        <v>6.8659941555399842E-4</v>
      </c>
      <c r="P30">
        <v>4.1027442714808337E-4</v>
      </c>
      <c r="Q30">
        <v>6.6304719259551229E-4</v>
      </c>
      <c r="R30">
        <v>5.6015941288022704E-4</v>
      </c>
      <c r="S30">
        <v>2.2952962553594985E-4</v>
      </c>
      <c r="T30">
        <v>4.6633034542557621E-4</v>
      </c>
      <c r="U30">
        <v>6.9089281090231581E-4</v>
      </c>
      <c r="V30">
        <v>8.5145815746774092E-4</v>
      </c>
      <c r="W30">
        <v>7.9038415585961351E-4</v>
      </c>
      <c r="X30">
        <v>6.2913858855752933E-4</v>
      </c>
      <c r="Y30">
        <v>7.2922057288450442E-4</v>
      </c>
      <c r="Z30">
        <v>-3.0810460231409533E-5</v>
      </c>
      <c r="AA30">
        <v>8.1312700733147556E-4</v>
      </c>
      <c r="AB30">
        <v>5.7965814224201942E-5</v>
      </c>
      <c r="AC30">
        <v>5.6155908132599693E-4</v>
      </c>
      <c r="AD30">
        <v>1.4730329928058681E-3</v>
      </c>
      <c r="AE30">
        <v>7.5885216199941298E-3</v>
      </c>
      <c r="AF30">
        <v>-4.7846108826985249E-4</v>
      </c>
    </row>
    <row r="31" spans="1:32" x14ac:dyDescent="0.2">
      <c r="A31" t="s">
        <v>27</v>
      </c>
      <c r="B31">
        <v>-3.789861132916398</v>
      </c>
      <c r="C31">
        <v>4.9682436959544234E-4</v>
      </c>
      <c r="D31">
        <v>-1.7514934000182995E-2</v>
      </c>
      <c r="E31">
        <v>3.1826043205566333E-4</v>
      </c>
      <c r="F31">
        <v>-1.17778159285571E-2</v>
      </c>
      <c r="G31">
        <v>-8.0302498767741096E-3</v>
      </c>
      <c r="H31">
        <v>-9.3680085557809635E-3</v>
      </c>
      <c r="I31">
        <v>-1.164334478595665E-2</v>
      </c>
      <c r="J31">
        <v>-9.8749837216563531E-3</v>
      </c>
      <c r="K31">
        <v>-1.2062052359750493E-2</v>
      </c>
      <c r="L31">
        <v>-1.1523024526535728E-2</v>
      </c>
      <c r="M31">
        <v>-1.1436455466047699E-2</v>
      </c>
      <c r="N31">
        <v>-1.2853668771438322E-2</v>
      </c>
      <c r="O31">
        <v>-7.2514304522295061E-3</v>
      </c>
      <c r="P31">
        <v>-6.4453537719291942E-3</v>
      </c>
      <c r="Q31">
        <v>-7.5387876767910858E-3</v>
      </c>
      <c r="R31">
        <v>-6.0338518062310045E-3</v>
      </c>
      <c r="S31">
        <v>-6.0445062227236987E-3</v>
      </c>
      <c r="T31">
        <v>-6.7712057912676094E-3</v>
      </c>
      <c r="U31">
        <v>-6.7438437146013636E-3</v>
      </c>
      <c r="V31">
        <v>-7.0156974466537413E-3</v>
      </c>
      <c r="W31">
        <v>-6.0112535133037453E-3</v>
      </c>
      <c r="X31">
        <v>-9.0350103890662024E-3</v>
      </c>
      <c r="Y31">
        <v>-4.2619176919021047E-3</v>
      </c>
      <c r="Z31">
        <v>-4.9690474542343353E-4</v>
      </c>
      <c r="AA31">
        <v>1.9630668412880495E-3</v>
      </c>
      <c r="AB31">
        <v>2.5807902245208233E-3</v>
      </c>
      <c r="AC31">
        <v>-4.1191019213818896E-4</v>
      </c>
      <c r="AD31">
        <v>-9.8627648502553657E-3</v>
      </c>
      <c r="AE31">
        <v>-4.7846108826985249E-4</v>
      </c>
      <c r="AF31">
        <v>0.26401964946210582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1"/>
  <sheetViews>
    <sheetView tabSelected="1" workbookViewId="0">
      <selection activeCell="A25" sqref="A25"/>
    </sheetView>
  </sheetViews>
  <sheetFormatPr baseColWidth="10" defaultColWidth="8.83203125" defaultRowHeight="15" x14ac:dyDescent="0.2"/>
  <cols>
    <col min="1" max="1" width="28" customWidth="1"/>
  </cols>
  <sheetData>
    <row r="1" spans="1:32" x14ac:dyDescent="0.2">
      <c r="A1" t="s">
        <v>10</v>
      </c>
      <c r="B1" t="s">
        <v>11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64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27</v>
      </c>
    </row>
    <row r="2" spans="1:32" x14ac:dyDescent="0.2">
      <c r="A2" t="s">
        <v>35</v>
      </c>
      <c r="B2">
        <v>-0.20691948628767518</v>
      </c>
      <c r="C2">
        <v>9.941069253147708E-4</v>
      </c>
      <c r="D2">
        <v>-4.9840715093806432E-5</v>
      </c>
      <c r="E2">
        <v>5.7940684815536636E-7</v>
      </c>
      <c r="F2">
        <v>-2.0928808830303664E-4</v>
      </c>
      <c r="G2">
        <v>-1.4213747318839987E-4</v>
      </c>
      <c r="H2">
        <v>-2.8077360736408308E-4</v>
      </c>
      <c r="I2">
        <v>1.1693215038753348E-4</v>
      </c>
      <c r="J2">
        <v>-6.8444517816496439E-5</v>
      </c>
      <c r="K2">
        <v>-3.6853875254175703E-5</v>
      </c>
      <c r="L2">
        <v>-2.2440980154536251E-5</v>
      </c>
      <c r="M2">
        <v>-8.9092834616001046E-6</v>
      </c>
      <c r="N2">
        <v>-7.0962650636526443E-5</v>
      </c>
      <c r="O2">
        <v>-1.5518119750959294E-4</v>
      </c>
      <c r="P2">
        <v>1.6438002439312681E-4</v>
      </c>
      <c r="Q2">
        <v>1.0584537154877346E-5</v>
      </c>
      <c r="R2">
        <v>1.0874507537781872E-5</v>
      </c>
      <c r="S2">
        <v>5.9699405613395097E-5</v>
      </c>
      <c r="T2">
        <v>-3.1771608435001794E-5</v>
      </c>
      <c r="U2">
        <v>-5.1570223737230764E-5</v>
      </c>
      <c r="V2">
        <v>4.1294202976552261E-5</v>
      </c>
      <c r="W2">
        <v>-1.5039910363546828E-5</v>
      </c>
      <c r="X2">
        <v>-1.4977656740259843E-5</v>
      </c>
      <c r="Y2">
        <v>6.0594841515417539E-5</v>
      </c>
      <c r="Z2">
        <v>6.5302543672525151E-7</v>
      </c>
      <c r="AA2">
        <v>4.3492316941387736E-5</v>
      </c>
      <c r="AB2">
        <v>2.1021733859948034E-5</v>
      </c>
      <c r="AC2">
        <v>-2.0599383813811514E-5</v>
      </c>
      <c r="AD2">
        <v>-4.7149176486758614E-4</v>
      </c>
      <c r="AE2">
        <v>-2.4216010275010592E-5</v>
      </c>
      <c r="AF2">
        <v>4.9682436959361416E-4</v>
      </c>
    </row>
    <row r="3" spans="1:32" x14ac:dyDescent="0.2">
      <c r="A3" t="s">
        <v>36</v>
      </c>
      <c r="B3">
        <v>0.19746408237471141</v>
      </c>
      <c r="C3">
        <v>-4.9840715093806432E-5</v>
      </c>
      <c r="D3">
        <v>1.238876308539456E-3</v>
      </c>
      <c r="E3">
        <v>-2.2742201372463721E-5</v>
      </c>
      <c r="F3">
        <v>7.4785210010035403E-4</v>
      </c>
      <c r="G3">
        <v>4.5482078467390798E-4</v>
      </c>
      <c r="H3">
        <v>5.8322308148082568E-4</v>
      </c>
      <c r="I3">
        <v>6.2552257235919334E-4</v>
      </c>
      <c r="J3">
        <v>5.2269196264448066E-4</v>
      </c>
      <c r="K3">
        <v>6.3209572422124585E-4</v>
      </c>
      <c r="L3">
        <v>5.6749030562737966E-4</v>
      </c>
      <c r="M3">
        <v>5.4614448249212767E-4</v>
      </c>
      <c r="N3">
        <v>7.4007853589422171E-4</v>
      </c>
      <c r="O3">
        <v>2.7035978605119285E-4</v>
      </c>
      <c r="P3">
        <v>2.1916971269670543E-4</v>
      </c>
      <c r="Q3">
        <v>3.3213247295246382E-4</v>
      </c>
      <c r="R3">
        <v>2.4525505148135845E-4</v>
      </c>
      <c r="S3">
        <v>2.2247914151527284E-4</v>
      </c>
      <c r="T3">
        <v>2.9151588484822421E-4</v>
      </c>
      <c r="U3">
        <v>2.2378493367959489E-4</v>
      </c>
      <c r="V3">
        <v>2.8890468513969735E-4</v>
      </c>
      <c r="W3">
        <v>2.1055904214598411E-4</v>
      </c>
      <c r="X3">
        <v>4.0755150323139224E-4</v>
      </c>
      <c r="Y3">
        <v>8.9189338162662737E-5</v>
      </c>
      <c r="Z3">
        <v>5.5465381527748832E-6</v>
      </c>
      <c r="AA3">
        <v>-1.7573168729699581E-6</v>
      </c>
      <c r="AB3">
        <v>-4.672633855315857E-5</v>
      </c>
      <c r="AC3">
        <v>-5.1421144777178372E-5</v>
      </c>
      <c r="AD3">
        <v>2.5038700768558256E-4</v>
      </c>
      <c r="AE3">
        <v>3.1623440649669902E-5</v>
      </c>
      <c r="AF3">
        <v>-1.7514934000154542E-2</v>
      </c>
    </row>
    <row r="4" spans="1:32" x14ac:dyDescent="0.2">
      <c r="A4" t="s">
        <v>37</v>
      </c>
      <c r="B4">
        <v>-2.6374910089944003E-3</v>
      </c>
      <c r="C4">
        <v>5.7940684815536636E-7</v>
      </c>
      <c r="D4">
        <v>-2.2742201372463721E-5</v>
      </c>
      <c r="E4">
        <v>4.2203384982747703E-7</v>
      </c>
      <c r="F4">
        <v>-1.3182004074138322E-5</v>
      </c>
      <c r="G4">
        <v>-8.2040556567891323E-6</v>
      </c>
      <c r="H4">
        <v>-1.0886057665460501E-5</v>
      </c>
      <c r="I4">
        <v>-1.0312760726556718E-5</v>
      </c>
      <c r="J4">
        <v>-8.866953391535833E-6</v>
      </c>
      <c r="K4">
        <v>-1.0521364100166651E-5</v>
      </c>
      <c r="L4">
        <v>-9.5408657135568446E-6</v>
      </c>
      <c r="M4">
        <v>-9.6651115286450413E-6</v>
      </c>
      <c r="N4">
        <v>-1.3196868707365523E-5</v>
      </c>
      <c r="O4">
        <v>-5.0103389523521421E-6</v>
      </c>
      <c r="P4">
        <v>-4.5763870343050955E-6</v>
      </c>
      <c r="Q4">
        <v>-6.4208637660308852E-6</v>
      </c>
      <c r="R4">
        <v>-4.7740958425850572E-6</v>
      </c>
      <c r="S4">
        <v>-4.4638876930843847E-6</v>
      </c>
      <c r="T4">
        <v>-5.5002422869261718E-6</v>
      </c>
      <c r="U4">
        <v>-4.4404589689473254E-6</v>
      </c>
      <c r="V4">
        <v>-5.5117995684629683E-6</v>
      </c>
      <c r="W4">
        <v>-4.3484124492790248E-6</v>
      </c>
      <c r="X4">
        <v>-7.378021292163009E-6</v>
      </c>
      <c r="Y4">
        <v>-1.9618617589507151E-6</v>
      </c>
      <c r="Z4">
        <v>-1.0277630215341281E-7</v>
      </c>
      <c r="AA4">
        <v>-1.9788895121810917E-8</v>
      </c>
      <c r="AB4">
        <v>6.4379934628539128E-7</v>
      </c>
      <c r="AC4">
        <v>7.8005903958221288E-7</v>
      </c>
      <c r="AD4">
        <v>-5.7861282063362827E-6</v>
      </c>
      <c r="AE4">
        <v>-1.0915277513781723E-6</v>
      </c>
      <c r="AF4">
        <v>3.1826043205515137E-4</v>
      </c>
    </row>
    <row r="5" spans="1:32" x14ac:dyDescent="0.2">
      <c r="A5" t="s">
        <v>38</v>
      </c>
      <c r="B5">
        <v>-4.6575993899235925E-2</v>
      </c>
      <c r="C5">
        <v>-2.0928808830303664E-4</v>
      </c>
      <c r="D5">
        <v>7.4785210010035403E-4</v>
      </c>
      <c r="E5">
        <v>-1.3182004074138322E-5</v>
      </c>
      <c r="F5">
        <v>6.783126919330645E-3</v>
      </c>
      <c r="G5">
        <v>1.6552924588776412E-3</v>
      </c>
      <c r="H5">
        <v>1.4002152644644402E-3</v>
      </c>
      <c r="I5">
        <v>-3.3287152441434107E-3</v>
      </c>
      <c r="J5">
        <v>-4.8101574809046761E-4</v>
      </c>
      <c r="K5">
        <v>-2.3016352705942087E-4</v>
      </c>
      <c r="L5">
        <v>-5.6111803503271608E-4</v>
      </c>
      <c r="M5">
        <v>-3.9710311581508012E-4</v>
      </c>
      <c r="N5">
        <v>-3.8923472375947165E-4</v>
      </c>
      <c r="O5">
        <v>1.7552040504469676E-4</v>
      </c>
      <c r="P5">
        <v>7.8055030679995922E-5</v>
      </c>
      <c r="Q5">
        <v>1.2257753311536231E-4</v>
      </c>
      <c r="R5">
        <v>2.1272113071302116E-4</v>
      </c>
      <c r="S5">
        <v>1.068681583784605E-5</v>
      </c>
      <c r="T5">
        <v>-4.8702772164874219E-5</v>
      </c>
      <c r="U5">
        <v>3.4230433020416206E-4</v>
      </c>
      <c r="V5">
        <v>-1.9939031848869313E-5</v>
      </c>
      <c r="W5">
        <v>4.4493988832149459E-5</v>
      </c>
      <c r="X5">
        <v>4.8886398706520222E-4</v>
      </c>
      <c r="Y5">
        <v>3.0788493923608086E-5</v>
      </c>
      <c r="Z5">
        <v>5.1608625830742451E-5</v>
      </c>
      <c r="AA5">
        <v>-1.1134448375686896E-5</v>
      </c>
      <c r="AB5">
        <v>-4.3743892798587506E-5</v>
      </c>
      <c r="AC5">
        <v>1.2690773982487573E-5</v>
      </c>
      <c r="AD5">
        <v>9.4297749891236304E-4</v>
      </c>
      <c r="AE5">
        <v>-1.6788434318726515E-4</v>
      </c>
      <c r="AF5">
        <v>-1.1777815928539704E-2</v>
      </c>
    </row>
    <row r="6" spans="1:32" x14ac:dyDescent="0.2">
      <c r="A6" t="s">
        <v>39</v>
      </c>
      <c r="B6">
        <v>-0.19764507198603429</v>
      </c>
      <c r="C6">
        <v>-1.4213747318839987E-4</v>
      </c>
      <c r="D6">
        <v>4.5482078467390798E-4</v>
      </c>
      <c r="E6">
        <v>-8.2040556567891323E-6</v>
      </c>
      <c r="F6">
        <v>1.6552924588776412E-3</v>
      </c>
      <c r="G6">
        <v>1.6676720873519228E-3</v>
      </c>
      <c r="H6">
        <v>1.338407489425349E-3</v>
      </c>
      <c r="I6">
        <v>-2.0428242260559599E-4</v>
      </c>
      <c r="J6">
        <v>-8.3415399622898778E-5</v>
      </c>
      <c r="K6">
        <v>5.2196315047691073E-5</v>
      </c>
      <c r="L6">
        <v>1.6017990901286486E-6</v>
      </c>
      <c r="M6">
        <v>2.1416430979306661E-4</v>
      </c>
      <c r="N6">
        <v>3.1115394524307391E-4</v>
      </c>
      <c r="O6">
        <v>4.25331907130092E-4</v>
      </c>
      <c r="P6">
        <v>3.8750367103964007E-4</v>
      </c>
      <c r="Q6">
        <v>2.3291613436434257E-4</v>
      </c>
      <c r="R6">
        <v>2.0437215978698611E-4</v>
      </c>
      <c r="S6">
        <v>2.3964805423711466E-4</v>
      </c>
      <c r="T6">
        <v>1.8255517519527977E-4</v>
      </c>
      <c r="U6">
        <v>4.3970249710389661E-4</v>
      </c>
      <c r="V6">
        <v>1.1515613050978781E-4</v>
      </c>
      <c r="W6">
        <v>2.3546423936156432E-4</v>
      </c>
      <c r="X6">
        <v>4.6663588295321756E-4</v>
      </c>
      <c r="Y6">
        <v>2.7453127911696842E-4</v>
      </c>
      <c r="Z6">
        <v>2.9394776555972057E-5</v>
      </c>
      <c r="AA6">
        <v>-1.4976418133005764E-4</v>
      </c>
      <c r="AB6">
        <v>-5.0201176582674524E-5</v>
      </c>
      <c r="AC6">
        <v>3.2553682570858221E-4</v>
      </c>
      <c r="AD6">
        <v>9.958487500214214E-4</v>
      </c>
      <c r="AE6">
        <v>-9.529260626359626E-5</v>
      </c>
      <c r="AF6">
        <v>-8.0302498767641749E-3</v>
      </c>
    </row>
    <row r="7" spans="1:32" x14ac:dyDescent="0.2">
      <c r="A7" t="s">
        <v>40</v>
      </c>
      <c r="B7">
        <v>-0.39715703200294961</v>
      </c>
      <c r="C7">
        <v>-2.8077360736408308E-4</v>
      </c>
      <c r="D7">
        <v>5.8322308148082568E-4</v>
      </c>
      <c r="E7">
        <v>-1.0886057665460501E-5</v>
      </c>
      <c r="F7">
        <v>1.4002152644644402E-3</v>
      </c>
      <c r="G7">
        <v>1.338407489425349E-3</v>
      </c>
      <c r="H7">
        <v>6.9021390870677079E-3</v>
      </c>
      <c r="I7">
        <v>2.6996963530662946E-4</v>
      </c>
      <c r="J7">
        <v>-3.458631009336672E-4</v>
      </c>
      <c r="K7">
        <v>6.8765806952772717E-4</v>
      </c>
      <c r="L7">
        <v>5.3760314821295753E-4</v>
      </c>
      <c r="M7">
        <v>8.0254992244528818E-4</v>
      </c>
      <c r="N7">
        <v>9.1594319091912861E-4</v>
      </c>
      <c r="O7">
        <v>5.1117033293162652E-4</v>
      </c>
      <c r="P7">
        <v>2.9781773303729398E-4</v>
      </c>
      <c r="Q7">
        <v>3.2096454713878157E-4</v>
      </c>
      <c r="R7">
        <v>2.4491604112460407E-4</v>
      </c>
      <c r="S7">
        <v>-8.2862081123117074E-5</v>
      </c>
      <c r="T7">
        <v>-1.5866347838978619E-4</v>
      </c>
      <c r="U7">
        <v>2.0045470572709187E-4</v>
      </c>
      <c r="V7">
        <v>8.460444925412696E-5</v>
      </c>
      <c r="W7">
        <v>-2.7289333462918424E-4</v>
      </c>
      <c r="X7">
        <v>2.5721441367772046E-4</v>
      </c>
      <c r="Y7">
        <v>-1.5137127251240085E-4</v>
      </c>
      <c r="Z7">
        <v>2.8983402962123091E-6</v>
      </c>
      <c r="AA7">
        <v>8.1238770249010377E-5</v>
      </c>
      <c r="AB7">
        <v>-2.0613297126215776E-5</v>
      </c>
      <c r="AC7">
        <v>4.793425591367354E-4</v>
      </c>
      <c r="AD7">
        <v>7.0980837334838924E-4</v>
      </c>
      <c r="AE7">
        <v>-5.4739881428440265E-5</v>
      </c>
      <c r="AF7">
        <v>-9.3680085557710947E-3</v>
      </c>
    </row>
    <row r="8" spans="1:32" x14ac:dyDescent="0.2">
      <c r="A8" t="s">
        <v>41</v>
      </c>
      <c r="B8">
        <v>-0.28442451085933707</v>
      </c>
      <c r="C8">
        <v>1.1693215038753348E-4</v>
      </c>
      <c r="D8">
        <v>6.2552257235919334E-4</v>
      </c>
      <c r="E8">
        <v>-1.0312760726556718E-5</v>
      </c>
      <c r="F8">
        <v>-3.3287152441434107E-3</v>
      </c>
      <c r="G8">
        <v>-2.0428242260559599E-4</v>
      </c>
      <c r="H8">
        <v>2.6996963530662946E-4</v>
      </c>
      <c r="I8">
        <v>6.0089826880800612E-3</v>
      </c>
      <c r="J8">
        <v>2.8254367467958523E-3</v>
      </c>
      <c r="K8">
        <v>2.6281572233764787E-3</v>
      </c>
      <c r="L8">
        <v>3.3715649643565526E-3</v>
      </c>
      <c r="M8">
        <v>3.0826209989082945E-3</v>
      </c>
      <c r="N8">
        <v>2.513301816451154E-3</v>
      </c>
      <c r="O8">
        <v>-1.8202256515820669E-4</v>
      </c>
      <c r="P8">
        <v>-1.2842711053999249E-4</v>
      </c>
      <c r="Q8">
        <v>8.4685382186537551E-5</v>
      </c>
      <c r="R8">
        <v>-8.1775848537707352E-5</v>
      </c>
      <c r="S8">
        <v>-1.6426467398710821E-4</v>
      </c>
      <c r="T8">
        <v>1.3280946826447722E-4</v>
      </c>
      <c r="U8">
        <v>-1.9874842424609475E-4</v>
      </c>
      <c r="V8">
        <v>1.0485499664486639E-4</v>
      </c>
      <c r="W8">
        <v>-1.9790987203760577E-5</v>
      </c>
      <c r="X8">
        <v>-4.3595354744736564E-4</v>
      </c>
      <c r="Y8">
        <v>-4.569076716493068E-5</v>
      </c>
      <c r="Z8">
        <v>-3.7555828676394745E-5</v>
      </c>
      <c r="AA8">
        <v>-8.6283811761349058E-5</v>
      </c>
      <c r="AB8">
        <v>2.1894137232975801E-5</v>
      </c>
      <c r="AC8">
        <v>2.4296540258966423E-4</v>
      </c>
      <c r="AD8">
        <v>-6.613609584761428E-4</v>
      </c>
      <c r="AE8">
        <v>-5.7073530645228862E-5</v>
      </c>
      <c r="AF8">
        <v>-1.1643344785943179E-2</v>
      </c>
    </row>
    <row r="9" spans="1:32" x14ac:dyDescent="0.2">
      <c r="A9" t="s">
        <v>42</v>
      </c>
      <c r="B9">
        <v>-0.31256654149451091</v>
      </c>
      <c r="C9">
        <v>-6.8444517816496439E-5</v>
      </c>
      <c r="D9">
        <v>5.2269196264448066E-4</v>
      </c>
      <c r="E9">
        <v>-8.866953391535833E-6</v>
      </c>
      <c r="F9">
        <v>-4.8101574809046761E-4</v>
      </c>
      <c r="G9">
        <v>-8.3415399622898778E-5</v>
      </c>
      <c r="H9">
        <v>-3.458631009336672E-4</v>
      </c>
      <c r="I9">
        <v>2.8254367467958523E-3</v>
      </c>
      <c r="J9">
        <v>3.8697969496396169E-3</v>
      </c>
      <c r="K9">
        <v>2.3270390801340725E-3</v>
      </c>
      <c r="L9">
        <v>2.9807291595275072E-3</v>
      </c>
      <c r="M9">
        <v>2.7801905113930738E-3</v>
      </c>
      <c r="N9">
        <v>2.1365057966907458E-3</v>
      </c>
      <c r="O9">
        <v>-4.2287485381961305E-4</v>
      </c>
      <c r="P9">
        <v>-1.8912045783531228E-4</v>
      </c>
      <c r="Q9">
        <v>7.2347178632508366E-5</v>
      </c>
      <c r="R9">
        <v>-2.2824039109469531E-4</v>
      </c>
      <c r="S9">
        <v>-1.0352144696709341E-4</v>
      </c>
      <c r="T9">
        <v>9.410148428282551E-5</v>
      </c>
      <c r="U9">
        <v>-2.9382869025809319E-5</v>
      </c>
      <c r="V9">
        <v>8.9401227001010891E-6</v>
      </c>
      <c r="W9">
        <v>-2.159535163679554E-5</v>
      </c>
      <c r="X9">
        <v>-3.0335970941101518E-4</v>
      </c>
      <c r="Y9">
        <v>-4.8778623024560951E-5</v>
      </c>
      <c r="Z9">
        <v>-2.2044062251088108E-5</v>
      </c>
      <c r="AA9">
        <v>-1.3068494898034382E-4</v>
      </c>
      <c r="AB9">
        <v>2.8965319935750247E-5</v>
      </c>
      <c r="AC9">
        <v>1.1857043577067228E-4</v>
      </c>
      <c r="AD9">
        <v>-3.9227205058577595E-4</v>
      </c>
      <c r="AE9">
        <v>-4.0313732663310058E-5</v>
      </c>
      <c r="AF9">
        <v>-9.8749837216438457E-3</v>
      </c>
    </row>
    <row r="10" spans="1:32" x14ac:dyDescent="0.2">
      <c r="A10" t="s">
        <v>43</v>
      </c>
      <c r="B10">
        <v>-0.13748350081147806</v>
      </c>
      <c r="C10">
        <v>-3.6853875254175703E-5</v>
      </c>
      <c r="D10">
        <v>6.3209572422124585E-4</v>
      </c>
      <c r="E10">
        <v>-1.0521364100166651E-5</v>
      </c>
      <c r="F10">
        <v>-2.3016352705942087E-4</v>
      </c>
      <c r="G10">
        <v>5.2196315047691073E-5</v>
      </c>
      <c r="H10">
        <v>6.8765806952772717E-4</v>
      </c>
      <c r="I10">
        <v>2.6281572233764787E-3</v>
      </c>
      <c r="J10">
        <v>2.3270390801340725E-3</v>
      </c>
      <c r="K10">
        <v>4.2023904464803027E-3</v>
      </c>
      <c r="L10">
        <v>3.0925612400729847E-3</v>
      </c>
      <c r="M10">
        <v>2.8963976260684581E-3</v>
      </c>
      <c r="N10">
        <v>2.4845908830676681E-3</v>
      </c>
      <c r="O10">
        <v>6.0755013996326244E-5</v>
      </c>
      <c r="P10">
        <v>-3.428545400898232E-4</v>
      </c>
      <c r="Q10">
        <v>3.9354669028877128E-5</v>
      </c>
      <c r="R10">
        <v>-2.6979754605460139E-4</v>
      </c>
      <c r="S10">
        <v>-2.8655286503329156E-4</v>
      </c>
      <c r="T10">
        <v>-5.2620313204844677E-5</v>
      </c>
      <c r="U10">
        <v>-1.0007578409842901E-4</v>
      </c>
      <c r="V10">
        <v>1.0283148016374758E-4</v>
      </c>
      <c r="W10">
        <v>-2.7214372833735362E-4</v>
      </c>
      <c r="X10">
        <v>1.0489516307815301E-4</v>
      </c>
      <c r="Y10">
        <v>-3.0747806066477694E-5</v>
      </c>
      <c r="Z10">
        <v>-2.3510275671065209E-6</v>
      </c>
      <c r="AA10">
        <v>-1.5745810876441126E-4</v>
      </c>
      <c r="AB10">
        <v>-2.7678162264313804E-5</v>
      </c>
      <c r="AC10">
        <v>1.9642548064529577E-4</v>
      </c>
      <c r="AD10">
        <v>-1.3283565489415495E-4</v>
      </c>
      <c r="AE10">
        <v>-3.678219805361481E-5</v>
      </c>
      <c r="AF10">
        <v>-1.2062052359739724E-2</v>
      </c>
    </row>
    <row r="11" spans="1:32" x14ac:dyDescent="0.2">
      <c r="A11" t="s">
        <v>44</v>
      </c>
      <c r="B11">
        <v>-0.30234471591739631</v>
      </c>
      <c r="C11">
        <v>-2.2440980154536251E-5</v>
      </c>
      <c r="D11">
        <v>5.6749030562737966E-4</v>
      </c>
      <c r="E11">
        <v>-9.5408657135568446E-6</v>
      </c>
      <c r="F11">
        <v>-5.6111803503271608E-4</v>
      </c>
      <c r="G11">
        <v>1.6017990901286486E-6</v>
      </c>
      <c r="H11">
        <v>5.3760314821295753E-4</v>
      </c>
      <c r="I11">
        <v>3.3715649643565526E-3</v>
      </c>
      <c r="J11">
        <v>2.9807291595275072E-3</v>
      </c>
      <c r="K11">
        <v>3.0925612400729847E-3</v>
      </c>
      <c r="L11">
        <v>4.6114744635975327E-3</v>
      </c>
      <c r="M11">
        <v>3.5045593942646175E-3</v>
      </c>
      <c r="N11">
        <v>2.8763621068475958E-3</v>
      </c>
      <c r="O11">
        <v>1.4006089278186667E-4</v>
      </c>
      <c r="P11">
        <v>-2.4104238801312327E-4</v>
      </c>
      <c r="Q11">
        <v>-3.7503622150512569E-5</v>
      </c>
      <c r="R11">
        <v>-2.6172850415994402E-4</v>
      </c>
      <c r="S11">
        <v>-1.9962571270795313E-4</v>
      </c>
      <c r="T11">
        <v>-1.2065154193495307E-4</v>
      </c>
      <c r="U11">
        <v>-1.8710133741960686E-4</v>
      </c>
      <c r="V11">
        <v>-3.8076447667331E-5</v>
      </c>
      <c r="W11">
        <v>-1.4170826613530666E-4</v>
      </c>
      <c r="X11">
        <v>-4.2082317678292485E-4</v>
      </c>
      <c r="Y11">
        <v>-7.0070697932111611E-5</v>
      </c>
      <c r="Z11">
        <v>-1.053029378086435E-5</v>
      </c>
      <c r="AA11">
        <v>-1.626795232896356E-4</v>
      </c>
      <c r="AB11">
        <v>1.3111708089886599E-4</v>
      </c>
      <c r="AC11">
        <v>2.8942878634061371E-4</v>
      </c>
      <c r="AD11">
        <v>-3.0057455987180307E-4</v>
      </c>
      <c r="AE11">
        <v>6.756641963733196E-5</v>
      </c>
      <c r="AF11">
        <v>-1.152302452652448E-2</v>
      </c>
    </row>
    <row r="12" spans="1:32" x14ac:dyDescent="0.2">
      <c r="A12" t="s">
        <v>45</v>
      </c>
      <c r="B12">
        <v>-0.15996082097943842</v>
      </c>
      <c r="C12">
        <v>-8.9092834616001046E-6</v>
      </c>
      <c r="D12">
        <v>5.4614448249212767E-4</v>
      </c>
      <c r="E12">
        <v>-9.6651115286450413E-6</v>
      </c>
      <c r="F12">
        <v>-3.9710311581508012E-4</v>
      </c>
      <c r="G12">
        <v>2.1416430979306661E-4</v>
      </c>
      <c r="H12">
        <v>8.0254992244528818E-4</v>
      </c>
      <c r="I12">
        <v>3.0826209989082945E-3</v>
      </c>
      <c r="J12">
        <v>2.7801905113930738E-3</v>
      </c>
      <c r="K12">
        <v>2.8963976260684581E-3</v>
      </c>
      <c r="L12">
        <v>3.5045593942646175E-3</v>
      </c>
      <c r="M12">
        <v>4.4063715369492109E-3</v>
      </c>
      <c r="N12">
        <v>2.7731843332169225E-3</v>
      </c>
      <c r="O12">
        <v>-6.2464533415696518E-5</v>
      </c>
      <c r="P12">
        <v>1.6387214663320191E-4</v>
      </c>
      <c r="Q12">
        <v>3.2231913275913371E-4</v>
      </c>
      <c r="R12">
        <v>-9.9778175767282963E-5</v>
      </c>
      <c r="S12">
        <v>-1.0914618536152806E-4</v>
      </c>
      <c r="T12">
        <v>-5.0768722785341858E-5</v>
      </c>
      <c r="U12">
        <v>1.8623961052561676E-4</v>
      </c>
      <c r="V12">
        <v>1.0554757078274897E-4</v>
      </c>
      <c r="W12">
        <v>2.2004732524477416E-4</v>
      </c>
      <c r="X12">
        <v>-1.7493195207135017E-4</v>
      </c>
      <c r="Y12">
        <v>1.5378535548162507E-4</v>
      </c>
      <c r="Z12">
        <v>6.5363914788635607E-6</v>
      </c>
      <c r="AA12">
        <v>-2.0573075219414654E-4</v>
      </c>
      <c r="AB12">
        <v>7.5137056719524662E-5</v>
      </c>
      <c r="AC12">
        <v>3.5175900263562272E-4</v>
      </c>
      <c r="AD12">
        <v>9.3745277932571515E-4</v>
      </c>
      <c r="AE12">
        <v>2.8017165294491901E-4</v>
      </c>
      <c r="AF12">
        <v>-1.1436455466038706E-2</v>
      </c>
    </row>
    <row r="13" spans="1:32" x14ac:dyDescent="0.2">
      <c r="A13" t="s">
        <v>46</v>
      </c>
      <c r="B13">
        <v>-7.2382470861623985E-2</v>
      </c>
      <c r="C13">
        <v>-7.0962650636526443E-5</v>
      </c>
      <c r="D13">
        <v>7.4007853589422171E-4</v>
      </c>
      <c r="E13">
        <v>-1.3196868707365523E-5</v>
      </c>
      <c r="F13">
        <v>-3.8923472375947165E-4</v>
      </c>
      <c r="G13">
        <v>3.1115394524307391E-4</v>
      </c>
      <c r="H13">
        <v>9.1594319091912861E-4</v>
      </c>
      <c r="I13">
        <v>2.513301816451154E-3</v>
      </c>
      <c r="J13">
        <v>2.1365057966907458E-3</v>
      </c>
      <c r="K13">
        <v>2.4845908830676681E-3</v>
      </c>
      <c r="L13">
        <v>2.8763621068475958E-3</v>
      </c>
      <c r="M13">
        <v>2.7731843332169225E-3</v>
      </c>
      <c r="N13">
        <v>4.9144499226467632E-3</v>
      </c>
      <c r="O13">
        <v>1.1595328373372252E-4</v>
      </c>
      <c r="P13">
        <v>1.3439879369978947E-4</v>
      </c>
      <c r="Q13">
        <v>2.9894130618722211E-4</v>
      </c>
      <c r="R13">
        <v>-9.1208594492976126E-5</v>
      </c>
      <c r="S13">
        <v>-2.7246929796371708E-8</v>
      </c>
      <c r="T13">
        <v>2.3897692962961202E-4</v>
      </c>
      <c r="U13">
        <v>4.0710872103126919E-5</v>
      </c>
      <c r="V13">
        <v>1.2970008258914338E-4</v>
      </c>
      <c r="W13">
        <v>1.632664983259079E-4</v>
      </c>
      <c r="X13">
        <v>-1.9104519575067233E-4</v>
      </c>
      <c r="Y13">
        <v>1.7950162568103768E-4</v>
      </c>
      <c r="Z13">
        <v>-2.3723803880397378E-5</v>
      </c>
      <c r="AA13">
        <v>-2.1449840702193014E-4</v>
      </c>
      <c r="AB13">
        <v>1.5369927807691109E-4</v>
      </c>
      <c r="AC13">
        <v>7.6739270380916588E-5</v>
      </c>
      <c r="AD13">
        <v>-1.3411624186865801E-4</v>
      </c>
      <c r="AE13">
        <v>9.9494135433479962E-5</v>
      </c>
      <c r="AF13">
        <v>-1.2853668771424229E-2</v>
      </c>
    </row>
    <row r="14" spans="1:32" x14ac:dyDescent="0.2">
      <c r="A14" t="s">
        <v>47</v>
      </c>
      <c r="B14">
        <v>-6.584520843030145E-2</v>
      </c>
      <c r="C14">
        <v>-1.5518119750959294E-4</v>
      </c>
      <c r="D14">
        <v>2.7035978605119285E-4</v>
      </c>
      <c r="E14">
        <v>-5.0103389523521421E-6</v>
      </c>
      <c r="F14">
        <v>1.7552040504469676E-4</v>
      </c>
      <c r="G14">
        <v>4.25331907130092E-4</v>
      </c>
      <c r="H14">
        <v>5.1117033293162652E-4</v>
      </c>
      <c r="I14">
        <v>-1.8202256515820669E-4</v>
      </c>
      <c r="J14">
        <v>-4.2287485381961305E-4</v>
      </c>
      <c r="K14">
        <v>6.0755013996326244E-5</v>
      </c>
      <c r="L14">
        <v>1.4006089278186667E-4</v>
      </c>
      <c r="M14">
        <v>-6.2464533415696518E-5</v>
      </c>
      <c r="N14">
        <v>1.1595328373372252E-4</v>
      </c>
      <c r="O14">
        <v>9.9149368375718114E-3</v>
      </c>
      <c r="P14">
        <v>2.5672734967308649E-3</v>
      </c>
      <c r="Q14">
        <v>2.6256451612013685E-3</v>
      </c>
      <c r="R14">
        <v>2.624626502797591E-3</v>
      </c>
      <c r="S14">
        <v>2.4624398276962317E-3</v>
      </c>
      <c r="T14">
        <v>2.5855034717256606E-3</v>
      </c>
      <c r="U14">
        <v>2.9859753387207933E-3</v>
      </c>
      <c r="V14">
        <v>2.7176783579206539E-3</v>
      </c>
      <c r="W14">
        <v>2.7274676973273854E-3</v>
      </c>
      <c r="X14">
        <v>2.6847055323007433E-3</v>
      </c>
      <c r="Y14">
        <v>2.715518534505136E-3</v>
      </c>
      <c r="Z14">
        <v>5.1592949014426793E-5</v>
      </c>
      <c r="AA14">
        <v>-3.5310705837768194E-4</v>
      </c>
      <c r="AB14">
        <v>-3.4395539638527872E-4</v>
      </c>
      <c r="AC14">
        <v>8.8979808235138929E-4</v>
      </c>
      <c r="AD14">
        <v>4.0565538540559797E-3</v>
      </c>
      <c r="AE14">
        <v>6.8659941555398931E-4</v>
      </c>
      <c r="AF14">
        <v>-7.2514304522253853E-3</v>
      </c>
    </row>
    <row r="15" spans="1:32" x14ac:dyDescent="0.2">
      <c r="A15" t="s">
        <v>48</v>
      </c>
      <c r="B15">
        <v>0.17246642101542556</v>
      </c>
      <c r="C15">
        <v>1.6438002439312681E-4</v>
      </c>
      <c r="D15">
        <v>2.1916971269670543E-4</v>
      </c>
      <c r="E15">
        <v>-4.5763870343050955E-6</v>
      </c>
      <c r="F15">
        <v>7.8055030679995922E-5</v>
      </c>
      <c r="G15">
        <v>3.8750367103964007E-4</v>
      </c>
      <c r="H15">
        <v>2.9781773303729398E-4</v>
      </c>
      <c r="I15">
        <v>-1.2842711053999249E-4</v>
      </c>
      <c r="J15">
        <v>-1.8912045783531228E-4</v>
      </c>
      <c r="K15">
        <v>-3.428545400898232E-4</v>
      </c>
      <c r="L15">
        <v>-2.4104238801312327E-4</v>
      </c>
      <c r="M15">
        <v>1.6387214663320191E-4</v>
      </c>
      <c r="N15">
        <v>1.3439879369978947E-4</v>
      </c>
      <c r="O15">
        <v>2.5672734967308649E-3</v>
      </c>
      <c r="P15">
        <v>4.9501267289876133E-3</v>
      </c>
      <c r="Q15">
        <v>2.5688614904308092E-3</v>
      </c>
      <c r="R15">
        <v>2.5778947477879247E-3</v>
      </c>
      <c r="S15">
        <v>2.4596280268815128E-3</v>
      </c>
      <c r="T15">
        <v>2.5364596713867097E-3</v>
      </c>
      <c r="U15">
        <v>2.8697643524394664E-3</v>
      </c>
      <c r="V15">
        <v>2.6181171871513236E-3</v>
      </c>
      <c r="W15">
        <v>2.7003034586810283E-3</v>
      </c>
      <c r="X15">
        <v>2.6283514772935807E-3</v>
      </c>
      <c r="Y15">
        <v>2.6422633971703137E-3</v>
      </c>
      <c r="Z15">
        <v>6.2827188494826898E-5</v>
      </c>
      <c r="AA15">
        <v>-4.2333516315695702E-4</v>
      </c>
      <c r="AB15">
        <v>-1.9207311703131207E-4</v>
      </c>
      <c r="AC15">
        <v>6.4891673791304147E-4</v>
      </c>
      <c r="AD15">
        <v>3.7078822696152889E-3</v>
      </c>
      <c r="AE15">
        <v>4.1027442714807431E-4</v>
      </c>
      <c r="AF15">
        <v>-6.4453537719234774E-3</v>
      </c>
    </row>
    <row r="16" spans="1:32" x14ac:dyDescent="0.2">
      <c r="A16" t="s">
        <v>49</v>
      </c>
      <c r="B16">
        <v>0.16029198427979829</v>
      </c>
      <c r="C16">
        <v>1.0584537154877346E-5</v>
      </c>
      <c r="D16">
        <v>3.3213247295246382E-4</v>
      </c>
      <c r="E16">
        <v>-6.4208637660308852E-6</v>
      </c>
      <c r="F16">
        <v>1.2257753311536231E-4</v>
      </c>
      <c r="G16">
        <v>2.3291613436434257E-4</v>
      </c>
      <c r="H16">
        <v>3.2096454713878157E-4</v>
      </c>
      <c r="I16">
        <v>8.4685382186537551E-5</v>
      </c>
      <c r="J16">
        <v>7.2347178632508366E-5</v>
      </c>
      <c r="K16">
        <v>3.9354669028877128E-5</v>
      </c>
      <c r="L16">
        <v>-3.7503622150512569E-5</v>
      </c>
      <c r="M16">
        <v>3.2231913275913371E-4</v>
      </c>
      <c r="N16">
        <v>2.9894130618722211E-4</v>
      </c>
      <c r="O16">
        <v>2.6256451612013685E-3</v>
      </c>
      <c r="P16">
        <v>2.5688614904308092E-3</v>
      </c>
      <c r="Q16">
        <v>5.0702266362151515E-3</v>
      </c>
      <c r="R16">
        <v>2.6225698166147155E-3</v>
      </c>
      <c r="S16">
        <v>2.4888436038571632E-3</v>
      </c>
      <c r="T16">
        <v>2.5897686854286519E-3</v>
      </c>
      <c r="U16">
        <v>2.919328947956587E-3</v>
      </c>
      <c r="V16">
        <v>2.6963545923479916E-3</v>
      </c>
      <c r="W16">
        <v>2.7313241297134308E-3</v>
      </c>
      <c r="X16">
        <v>2.6945492957706381E-3</v>
      </c>
      <c r="Y16">
        <v>2.6484323624466908E-3</v>
      </c>
      <c r="Z16">
        <v>2.246368805858208E-5</v>
      </c>
      <c r="AA16">
        <v>-2.4282462438062938E-4</v>
      </c>
      <c r="AB16">
        <v>2.0759784063241452E-4</v>
      </c>
      <c r="AC16">
        <v>8.0616989676829387E-4</v>
      </c>
      <c r="AD16">
        <v>3.7673529644965944E-3</v>
      </c>
      <c r="AE16">
        <v>6.6304719259550286E-4</v>
      </c>
      <c r="AF16">
        <v>-7.538787676784591E-3</v>
      </c>
    </row>
    <row r="17" spans="1:32" x14ac:dyDescent="0.2">
      <c r="A17" t="s">
        <v>50</v>
      </c>
      <c r="B17">
        <v>6.8786874278628909E-2</v>
      </c>
      <c r="C17">
        <v>1.0874507537781872E-5</v>
      </c>
      <c r="D17">
        <v>2.4525505148135845E-4</v>
      </c>
      <c r="E17">
        <v>-4.7740958425850572E-6</v>
      </c>
      <c r="F17">
        <v>2.1272113071302116E-4</v>
      </c>
      <c r="G17">
        <v>2.0437215978698611E-4</v>
      </c>
      <c r="H17">
        <v>2.4491604112460407E-4</v>
      </c>
      <c r="I17">
        <v>-8.1775848537707352E-5</v>
      </c>
      <c r="J17">
        <v>-2.2824039109469531E-4</v>
      </c>
      <c r="K17">
        <v>-2.6979754605460139E-4</v>
      </c>
      <c r="L17">
        <v>-2.6172850415994402E-4</v>
      </c>
      <c r="M17">
        <v>-9.9778175767282963E-5</v>
      </c>
      <c r="N17">
        <v>-9.1208594492976126E-5</v>
      </c>
      <c r="O17">
        <v>2.624626502797591E-3</v>
      </c>
      <c r="P17">
        <v>2.5778947477879247E-3</v>
      </c>
      <c r="Q17">
        <v>2.6225698166147155E-3</v>
      </c>
      <c r="R17">
        <v>5.1697186860243912E-3</v>
      </c>
      <c r="S17">
        <v>2.5103699081951273E-3</v>
      </c>
      <c r="T17">
        <v>2.6055996575288149E-3</v>
      </c>
      <c r="U17">
        <v>2.9594832328360778E-3</v>
      </c>
      <c r="V17">
        <v>2.7170564470863387E-3</v>
      </c>
      <c r="W17">
        <v>2.7446655793032372E-3</v>
      </c>
      <c r="X17">
        <v>2.6816220525210112E-3</v>
      </c>
      <c r="Y17">
        <v>2.6832672754183054E-3</v>
      </c>
      <c r="Z17">
        <v>1.8003032669549409E-5</v>
      </c>
      <c r="AA17">
        <v>-7.6591315358183116E-5</v>
      </c>
      <c r="AB17">
        <v>-8.6264400349683648E-5</v>
      </c>
      <c r="AC17">
        <v>8.1760394751968063E-4</v>
      </c>
      <c r="AD17">
        <v>3.8455019985996655E-3</v>
      </c>
      <c r="AE17">
        <v>5.601594128802201E-4</v>
      </c>
      <c r="AF17">
        <v>-6.0338518062252227E-3</v>
      </c>
    </row>
    <row r="18" spans="1:32" x14ac:dyDescent="0.2">
      <c r="A18" t="s">
        <v>51</v>
      </c>
      <c r="B18">
        <v>5.3215523672966322E-2</v>
      </c>
      <c r="C18">
        <v>5.9699405613395097E-5</v>
      </c>
      <c r="D18">
        <v>2.2247914151527284E-4</v>
      </c>
      <c r="E18">
        <v>-4.4638876930843847E-6</v>
      </c>
      <c r="F18">
        <v>1.068681583784605E-5</v>
      </c>
      <c r="G18">
        <v>2.3964805423711466E-4</v>
      </c>
      <c r="H18">
        <v>-8.2862081123117074E-5</v>
      </c>
      <c r="I18">
        <v>-1.6426467398710821E-4</v>
      </c>
      <c r="J18">
        <v>-1.0352144696709341E-4</v>
      </c>
      <c r="K18">
        <v>-2.8655286503329156E-4</v>
      </c>
      <c r="L18">
        <v>-1.9962571270795313E-4</v>
      </c>
      <c r="M18">
        <v>-1.0914618536152806E-4</v>
      </c>
      <c r="N18">
        <v>-2.7246929796371708E-8</v>
      </c>
      <c r="O18">
        <v>2.4624398276962317E-3</v>
      </c>
      <c r="P18">
        <v>2.4596280268815128E-3</v>
      </c>
      <c r="Q18">
        <v>2.4888436038571632E-3</v>
      </c>
      <c r="R18">
        <v>2.5103699081951273E-3</v>
      </c>
      <c r="S18">
        <v>5.4562262158130764E-3</v>
      </c>
      <c r="T18">
        <v>2.479823341953498E-3</v>
      </c>
      <c r="U18">
        <v>2.8164296991797207E-3</v>
      </c>
      <c r="V18">
        <v>2.5560997751372444E-3</v>
      </c>
      <c r="W18">
        <v>2.6073238171190386E-3</v>
      </c>
      <c r="X18">
        <v>2.5381024809861211E-3</v>
      </c>
      <c r="Y18">
        <v>2.554671048397893E-3</v>
      </c>
      <c r="Z18">
        <v>4.9072342301868322E-5</v>
      </c>
      <c r="AA18">
        <v>-3.8404948452487288E-4</v>
      </c>
      <c r="AB18">
        <v>-2.7234036827243093E-4</v>
      </c>
      <c r="AC18">
        <v>2.3603575976264017E-4</v>
      </c>
      <c r="AD18">
        <v>3.7007543919348007E-3</v>
      </c>
      <c r="AE18">
        <v>2.2952962553594164E-4</v>
      </c>
      <c r="AF18">
        <v>-6.0445062227189724E-3</v>
      </c>
    </row>
    <row r="19" spans="1:32" x14ac:dyDescent="0.2">
      <c r="A19" t="s">
        <v>52</v>
      </c>
      <c r="B19">
        <v>1.8853131291135843E-2</v>
      </c>
      <c r="C19">
        <v>-3.1771608435001794E-5</v>
      </c>
      <c r="D19">
        <v>2.9151588484822421E-4</v>
      </c>
      <c r="E19">
        <v>-5.5002422869261718E-6</v>
      </c>
      <c r="F19">
        <v>-4.8702772164874219E-5</v>
      </c>
      <c r="G19">
        <v>1.8255517519527977E-4</v>
      </c>
      <c r="H19">
        <v>-1.5866347838978619E-4</v>
      </c>
      <c r="I19">
        <v>1.3280946826447722E-4</v>
      </c>
      <c r="J19">
        <v>9.410148428282551E-5</v>
      </c>
      <c r="K19">
        <v>-5.2620313204844677E-5</v>
      </c>
      <c r="L19">
        <v>-1.2065154193495307E-4</v>
      </c>
      <c r="M19">
        <v>-5.0768722785341858E-5</v>
      </c>
      <c r="N19">
        <v>2.3897692962961202E-4</v>
      </c>
      <c r="O19">
        <v>2.5855034717256606E-3</v>
      </c>
      <c r="P19">
        <v>2.5364596713867097E-3</v>
      </c>
      <c r="Q19">
        <v>2.5897686854286519E-3</v>
      </c>
      <c r="R19">
        <v>2.6055996575288149E-3</v>
      </c>
      <c r="S19">
        <v>2.479823341953498E-3</v>
      </c>
      <c r="T19">
        <v>5.1375655572381464E-3</v>
      </c>
      <c r="U19">
        <v>2.9060138536134584E-3</v>
      </c>
      <c r="V19">
        <v>2.7048485621034616E-3</v>
      </c>
      <c r="W19">
        <v>2.7213651129129129E-3</v>
      </c>
      <c r="X19">
        <v>2.6750172004596025E-3</v>
      </c>
      <c r="Y19">
        <v>2.6708983741685448E-3</v>
      </c>
      <c r="Z19">
        <v>1.5106799700607574E-5</v>
      </c>
      <c r="AA19">
        <v>-9.2020964525844261E-5</v>
      </c>
      <c r="AB19">
        <v>2.308189150632405E-6</v>
      </c>
      <c r="AC19">
        <v>8.5620122231748312E-4</v>
      </c>
      <c r="AD19">
        <v>3.4918990804817633E-3</v>
      </c>
      <c r="AE19">
        <v>4.6633034542556748E-4</v>
      </c>
      <c r="AF19">
        <v>-6.7712057912613201E-3</v>
      </c>
    </row>
    <row r="20" spans="1:32" x14ac:dyDescent="0.2">
      <c r="A20" t="s">
        <v>53</v>
      </c>
      <c r="B20">
        <v>-3.8043083291995228E-3</v>
      </c>
      <c r="C20">
        <v>-5.1570223737230764E-5</v>
      </c>
      <c r="D20">
        <v>2.2378493367959489E-4</v>
      </c>
      <c r="E20">
        <v>-4.4404589689473254E-6</v>
      </c>
      <c r="F20">
        <v>3.4230433020416206E-4</v>
      </c>
      <c r="G20">
        <v>4.3970249710389661E-4</v>
      </c>
      <c r="H20">
        <v>2.0045470572709187E-4</v>
      </c>
      <c r="I20">
        <v>-1.9874842424609475E-4</v>
      </c>
      <c r="J20">
        <v>-2.9382869025809319E-5</v>
      </c>
      <c r="K20">
        <v>-1.0007578409842901E-4</v>
      </c>
      <c r="L20">
        <v>-1.8710133741960686E-4</v>
      </c>
      <c r="M20">
        <v>1.8623961052561676E-4</v>
      </c>
      <c r="N20">
        <v>4.0710872103126919E-5</v>
      </c>
      <c r="O20">
        <v>2.9859753387207933E-3</v>
      </c>
      <c r="P20">
        <v>2.8697643524394664E-3</v>
      </c>
      <c r="Q20">
        <v>2.919328947956587E-3</v>
      </c>
      <c r="R20">
        <v>2.9594832328360778E-3</v>
      </c>
      <c r="S20">
        <v>2.8164296991797207E-3</v>
      </c>
      <c r="T20">
        <v>2.9060138536134584E-3</v>
      </c>
      <c r="U20">
        <v>5.2830573762295057E-3</v>
      </c>
      <c r="V20">
        <v>3.0461831173824805E-3</v>
      </c>
      <c r="W20">
        <v>3.1010174273135818E-3</v>
      </c>
      <c r="X20">
        <v>3.0635706954029668E-3</v>
      </c>
      <c r="Y20">
        <v>3.0660385396002934E-3</v>
      </c>
      <c r="Z20">
        <v>4.278207868821588E-5</v>
      </c>
      <c r="AA20">
        <v>-3.1570827992504543E-4</v>
      </c>
      <c r="AB20">
        <v>-2.4902419424696219E-4</v>
      </c>
      <c r="AC20">
        <v>1.0130821971961975E-3</v>
      </c>
      <c r="AD20">
        <v>6.2246576671145734E-3</v>
      </c>
      <c r="AE20">
        <v>6.9089281090230713E-4</v>
      </c>
      <c r="AF20">
        <v>-6.7438437145954881E-3</v>
      </c>
    </row>
    <row r="21" spans="1:32" x14ac:dyDescent="0.2">
      <c r="A21" t="s">
        <v>54</v>
      </c>
      <c r="B21">
        <v>0.18863688864436348</v>
      </c>
      <c r="C21">
        <v>4.1294202976552261E-5</v>
      </c>
      <c r="D21">
        <v>2.8890468513969735E-4</v>
      </c>
      <c r="E21">
        <v>-5.5117995684629683E-6</v>
      </c>
      <c r="F21">
        <v>-1.9939031848869313E-5</v>
      </c>
      <c r="G21">
        <v>1.1515613050978781E-4</v>
      </c>
      <c r="H21">
        <v>8.460444925412696E-5</v>
      </c>
      <c r="I21">
        <v>1.0485499664486639E-4</v>
      </c>
      <c r="J21">
        <v>8.9401227001010891E-6</v>
      </c>
      <c r="K21">
        <v>1.0283148016374758E-4</v>
      </c>
      <c r="L21">
        <v>-3.8076447667331E-5</v>
      </c>
      <c r="M21">
        <v>1.0554757078274897E-4</v>
      </c>
      <c r="N21">
        <v>1.2970008258914338E-4</v>
      </c>
      <c r="O21">
        <v>2.7176783579206539E-3</v>
      </c>
      <c r="P21">
        <v>2.6181171871513236E-3</v>
      </c>
      <c r="Q21">
        <v>2.6963545923479916E-3</v>
      </c>
      <c r="R21">
        <v>2.7170564470863387E-3</v>
      </c>
      <c r="S21">
        <v>2.5560997751372444E-3</v>
      </c>
      <c r="T21">
        <v>2.7048485621034616E-3</v>
      </c>
      <c r="U21">
        <v>3.0461831173824805E-3</v>
      </c>
      <c r="V21">
        <v>5.7064119395707404E-3</v>
      </c>
      <c r="W21">
        <v>2.8259233744568034E-3</v>
      </c>
      <c r="X21">
        <v>2.8051674696313498E-3</v>
      </c>
      <c r="Y21">
        <v>2.7722830852368349E-3</v>
      </c>
      <c r="Z21">
        <v>2.2936764694630736E-5</v>
      </c>
      <c r="AA21">
        <v>-1.4000460067919849E-4</v>
      </c>
      <c r="AB21">
        <v>9.220092520512385E-5</v>
      </c>
      <c r="AC21">
        <v>9.7741732400680702E-4</v>
      </c>
      <c r="AD21">
        <v>4.0540843389370966E-3</v>
      </c>
      <c r="AE21">
        <v>8.5145815746772986E-4</v>
      </c>
      <c r="AF21">
        <v>-7.0156974466466914E-3</v>
      </c>
    </row>
    <row r="22" spans="1:32" x14ac:dyDescent="0.2">
      <c r="A22" t="s">
        <v>55</v>
      </c>
      <c r="B22">
        <v>-1.0326579922950359E-2</v>
      </c>
      <c r="C22">
        <v>-1.5039910363546828E-5</v>
      </c>
      <c r="D22">
        <v>2.1055904214598411E-4</v>
      </c>
      <c r="E22">
        <v>-4.3484124492790248E-6</v>
      </c>
      <c r="F22">
        <v>4.4493988832149459E-5</v>
      </c>
      <c r="G22">
        <v>2.3546423936156432E-4</v>
      </c>
      <c r="H22">
        <v>-2.7289333462918424E-4</v>
      </c>
      <c r="I22">
        <v>-1.9790987203760577E-5</v>
      </c>
      <c r="J22">
        <v>-2.159535163679554E-5</v>
      </c>
      <c r="K22">
        <v>-2.7214372833735362E-4</v>
      </c>
      <c r="L22">
        <v>-1.4170826613530666E-4</v>
      </c>
      <c r="M22">
        <v>2.2004732524477416E-4</v>
      </c>
      <c r="N22">
        <v>1.632664983259079E-4</v>
      </c>
      <c r="O22">
        <v>2.7274676973273854E-3</v>
      </c>
      <c r="P22">
        <v>2.7003034586810283E-3</v>
      </c>
      <c r="Q22">
        <v>2.7313241297134308E-3</v>
      </c>
      <c r="R22">
        <v>2.7446655793032372E-3</v>
      </c>
      <c r="S22">
        <v>2.6073238171190386E-3</v>
      </c>
      <c r="T22">
        <v>2.7213651129129129E-3</v>
      </c>
      <c r="U22">
        <v>3.1010174273135818E-3</v>
      </c>
      <c r="V22">
        <v>2.8259233744568034E-3</v>
      </c>
      <c r="W22">
        <v>6.4786314206326488E-3</v>
      </c>
      <c r="X22">
        <v>2.791483574670052E-3</v>
      </c>
      <c r="Y22">
        <v>2.8506044108713583E-3</v>
      </c>
      <c r="Z22">
        <v>3.4645424818555745E-5</v>
      </c>
      <c r="AA22">
        <v>-2.5834032404684933E-4</v>
      </c>
      <c r="AB22">
        <v>-5.6721182092902037E-5</v>
      </c>
      <c r="AC22">
        <v>1.0001953792593316E-3</v>
      </c>
      <c r="AD22">
        <v>4.227232044407842E-3</v>
      </c>
      <c r="AE22">
        <v>7.90384155859607E-4</v>
      </c>
      <c r="AF22">
        <v>-6.0112535132983572E-3</v>
      </c>
    </row>
    <row r="23" spans="1:32" x14ac:dyDescent="0.2">
      <c r="A23" t="s">
        <v>56</v>
      </c>
      <c r="B23">
        <v>0.12724499658639871</v>
      </c>
      <c r="C23">
        <v>-1.4977656740259843E-5</v>
      </c>
      <c r="D23">
        <v>4.0755150323139224E-4</v>
      </c>
      <c r="E23">
        <v>-7.378021292163009E-6</v>
      </c>
      <c r="F23">
        <v>4.8886398706520222E-4</v>
      </c>
      <c r="G23">
        <v>4.6663588295321756E-4</v>
      </c>
      <c r="H23">
        <v>2.5721441367772046E-4</v>
      </c>
      <c r="I23">
        <v>-4.3595354744736564E-4</v>
      </c>
      <c r="J23">
        <v>-3.0335970941101518E-4</v>
      </c>
      <c r="K23">
        <v>1.0489516307815301E-4</v>
      </c>
      <c r="L23">
        <v>-4.2082317678292485E-4</v>
      </c>
      <c r="M23">
        <v>-1.7493195207135017E-4</v>
      </c>
      <c r="N23">
        <v>-1.9104519575067233E-4</v>
      </c>
      <c r="O23">
        <v>2.6847055323007433E-3</v>
      </c>
      <c r="P23">
        <v>2.6283514772935807E-3</v>
      </c>
      <c r="Q23">
        <v>2.6945492957706381E-3</v>
      </c>
      <c r="R23">
        <v>2.6816220525210112E-3</v>
      </c>
      <c r="S23">
        <v>2.5381024809861211E-3</v>
      </c>
      <c r="T23">
        <v>2.6750172004596025E-3</v>
      </c>
      <c r="U23">
        <v>3.0635706954029668E-3</v>
      </c>
      <c r="V23">
        <v>2.8051674696313498E-3</v>
      </c>
      <c r="W23">
        <v>2.791483574670052E-3</v>
      </c>
      <c r="X23">
        <v>5.8121901559382147E-3</v>
      </c>
      <c r="Y23">
        <v>2.7627597068258561E-3</v>
      </c>
      <c r="Z23">
        <v>4.673916043484072E-5</v>
      </c>
      <c r="AA23">
        <v>-2.7368782160687633E-4</v>
      </c>
      <c r="AB23">
        <v>-1.8939535630619155E-4</v>
      </c>
      <c r="AC23">
        <v>9.7691360025171578E-4</v>
      </c>
      <c r="AD23">
        <v>4.0626064447288196E-3</v>
      </c>
      <c r="AE23">
        <v>6.2913858855751697E-4</v>
      </c>
      <c r="AF23">
        <v>-9.0350103890579937E-3</v>
      </c>
    </row>
    <row r="24" spans="1:32" x14ac:dyDescent="0.2">
      <c r="A24" t="s">
        <v>57</v>
      </c>
      <c r="B24">
        <v>-0.12941144766228069</v>
      </c>
      <c r="C24">
        <v>6.0594841515417539E-5</v>
      </c>
      <c r="D24">
        <v>8.9189338162662737E-5</v>
      </c>
      <c r="E24">
        <v>-1.9618617589507151E-6</v>
      </c>
      <c r="F24">
        <v>3.0788493923608086E-5</v>
      </c>
      <c r="G24">
        <v>2.7453127911696842E-4</v>
      </c>
      <c r="H24">
        <v>-1.5137127251240085E-4</v>
      </c>
      <c r="I24">
        <v>-4.569076716493068E-5</v>
      </c>
      <c r="J24">
        <v>-4.8778623024560951E-5</v>
      </c>
      <c r="K24">
        <v>-3.0747806066477694E-5</v>
      </c>
      <c r="L24">
        <v>-7.0070697932111611E-5</v>
      </c>
      <c r="M24">
        <v>1.5378535548162507E-4</v>
      </c>
      <c r="N24">
        <v>1.7950162568103768E-4</v>
      </c>
      <c r="O24">
        <v>2.715518534505136E-3</v>
      </c>
      <c r="P24">
        <v>2.6422633971703137E-3</v>
      </c>
      <c r="Q24">
        <v>2.6484323624466908E-3</v>
      </c>
      <c r="R24">
        <v>2.6832672754183054E-3</v>
      </c>
      <c r="S24">
        <v>2.554671048397893E-3</v>
      </c>
      <c r="T24">
        <v>2.6708983741685448E-3</v>
      </c>
      <c r="U24">
        <v>3.0660385396002934E-3</v>
      </c>
      <c r="V24">
        <v>2.7722830852368349E-3</v>
      </c>
      <c r="W24">
        <v>2.8506044108713583E-3</v>
      </c>
      <c r="X24">
        <v>2.7627597068258561E-3</v>
      </c>
      <c r="Y24">
        <v>5.4580068535017246E-3</v>
      </c>
      <c r="Z24">
        <v>1.7385506305665711E-5</v>
      </c>
      <c r="AA24">
        <v>-2.5329192613380614E-4</v>
      </c>
      <c r="AB24">
        <v>-1.4105978441622061E-4</v>
      </c>
      <c r="AC24">
        <v>1.0854516708666087E-3</v>
      </c>
      <c r="AD24">
        <v>4.1961266474661359E-3</v>
      </c>
      <c r="AE24">
        <v>7.2922057288449813E-4</v>
      </c>
      <c r="AF24">
        <v>-4.2619176919000438E-3</v>
      </c>
    </row>
    <row r="25" spans="1:32" x14ac:dyDescent="0.2">
      <c r="A25" t="s">
        <v>64</v>
      </c>
      <c r="B25">
        <v>-1.4739123620402528E-2</v>
      </c>
      <c r="C25">
        <v>6.5302543672525151E-7</v>
      </c>
      <c r="D25">
        <v>5.5465381527748832E-6</v>
      </c>
      <c r="E25">
        <v>-1.0277630215341281E-7</v>
      </c>
      <c r="F25">
        <v>5.1608625830742451E-5</v>
      </c>
      <c r="G25">
        <v>2.9394776555972057E-5</v>
      </c>
      <c r="H25">
        <v>2.8983402962123091E-6</v>
      </c>
      <c r="I25">
        <v>-3.7555828676394745E-5</v>
      </c>
      <c r="J25">
        <v>-2.2044062251088108E-5</v>
      </c>
      <c r="K25">
        <v>-2.3510275671065209E-6</v>
      </c>
      <c r="L25">
        <v>-1.053029378086435E-5</v>
      </c>
      <c r="M25">
        <v>6.5363914788635607E-6</v>
      </c>
      <c r="N25">
        <v>-2.3723803880397378E-5</v>
      </c>
      <c r="O25">
        <v>5.1592949014426793E-5</v>
      </c>
      <c r="P25">
        <v>6.2827188494826898E-5</v>
      </c>
      <c r="Q25">
        <v>2.246368805858208E-5</v>
      </c>
      <c r="R25">
        <v>1.8003032669549409E-5</v>
      </c>
      <c r="S25">
        <v>4.9072342301868322E-5</v>
      </c>
      <c r="T25">
        <v>1.5106799700607574E-5</v>
      </c>
      <c r="U25">
        <v>4.278207868821588E-5</v>
      </c>
      <c r="V25">
        <v>2.2936764694630736E-5</v>
      </c>
      <c r="W25">
        <v>3.4645424818555745E-5</v>
      </c>
      <c r="X25">
        <v>4.673916043484072E-5</v>
      </c>
      <c r="Y25">
        <v>1.7385506305665711E-5</v>
      </c>
      <c r="Z25">
        <v>2.4431235563151115E-5</v>
      </c>
      <c r="AA25">
        <v>-1.066875328638695E-4</v>
      </c>
      <c r="AB25">
        <v>-1.2822588938416545E-4</v>
      </c>
      <c r="AC25">
        <v>-2.1917991800439777E-5</v>
      </c>
      <c r="AD25">
        <v>1.6061840862529377E-4</v>
      </c>
      <c r="AE25">
        <v>-3.0810460231410312E-5</v>
      </c>
      <c r="AF25">
        <v>-4.969047454233944E-4</v>
      </c>
    </row>
    <row r="26" spans="1:32" x14ac:dyDescent="0.2">
      <c r="A26" t="s">
        <v>58</v>
      </c>
      <c r="B26">
        <v>0.11020020000248419</v>
      </c>
      <c r="C26">
        <v>4.3492316941387736E-5</v>
      </c>
      <c r="D26">
        <v>-1.7573168729699581E-6</v>
      </c>
      <c r="E26">
        <v>-1.9788895121810917E-8</v>
      </c>
      <c r="F26">
        <v>-1.1134448375686896E-5</v>
      </c>
      <c r="G26">
        <v>-1.4976418133005764E-4</v>
      </c>
      <c r="H26">
        <v>8.1238770249010377E-5</v>
      </c>
      <c r="I26">
        <v>-8.6283811761349058E-5</v>
      </c>
      <c r="J26">
        <v>-1.3068494898034382E-4</v>
      </c>
      <c r="K26">
        <v>-1.5745810876441126E-4</v>
      </c>
      <c r="L26">
        <v>-1.626795232896356E-4</v>
      </c>
      <c r="M26">
        <v>-2.0573075219414654E-4</v>
      </c>
      <c r="N26">
        <v>-2.1449840702193014E-4</v>
      </c>
      <c r="O26">
        <v>-3.5310705837768194E-4</v>
      </c>
      <c r="P26">
        <v>-4.2333516315695702E-4</v>
      </c>
      <c r="Q26">
        <v>-2.4282462438062938E-4</v>
      </c>
      <c r="R26">
        <v>-7.6591315358183116E-5</v>
      </c>
      <c r="S26">
        <v>-3.8404948452487288E-4</v>
      </c>
      <c r="T26">
        <v>-9.2020964525844261E-5</v>
      </c>
      <c r="U26">
        <v>-3.1570827992504543E-4</v>
      </c>
      <c r="V26">
        <v>-1.4000460067919849E-4</v>
      </c>
      <c r="W26">
        <v>-2.5834032404684933E-4</v>
      </c>
      <c r="X26">
        <v>-2.7368782160687633E-4</v>
      </c>
      <c r="Y26">
        <v>-2.5329192613380614E-4</v>
      </c>
      <c r="Z26">
        <v>-1.066875328638695E-4</v>
      </c>
      <c r="AA26">
        <v>4.0066930871553927E-3</v>
      </c>
      <c r="AB26">
        <v>7.9538159568236135E-4</v>
      </c>
      <c r="AC26">
        <v>-1.4349466299931699E-5</v>
      </c>
      <c r="AD26">
        <v>-9.0025848297930772E-4</v>
      </c>
      <c r="AE26">
        <v>8.1312700733148055E-4</v>
      </c>
      <c r="AF26">
        <v>1.9630668412878266E-3</v>
      </c>
    </row>
    <row r="27" spans="1:32" x14ac:dyDescent="0.2">
      <c r="A27" t="s">
        <v>59</v>
      </c>
      <c r="B27">
        <v>8.4344972357574335E-2</v>
      </c>
      <c r="C27">
        <v>2.1021733859948034E-5</v>
      </c>
      <c r="D27">
        <v>-4.672633855315857E-5</v>
      </c>
      <c r="E27">
        <v>6.4379934628539128E-7</v>
      </c>
      <c r="F27">
        <v>-4.3743892798587506E-5</v>
      </c>
      <c r="G27">
        <v>-5.0201176582674524E-5</v>
      </c>
      <c r="H27">
        <v>-2.0613297126215776E-5</v>
      </c>
      <c r="I27">
        <v>2.1894137232975801E-5</v>
      </c>
      <c r="J27">
        <v>2.8965319935750247E-5</v>
      </c>
      <c r="K27">
        <v>-2.7678162264313804E-5</v>
      </c>
      <c r="L27">
        <v>1.3111708089886599E-4</v>
      </c>
      <c r="M27">
        <v>7.5137056719524662E-5</v>
      </c>
      <c r="N27">
        <v>1.5369927807691109E-4</v>
      </c>
      <c r="O27">
        <v>-3.4395539638527872E-4</v>
      </c>
      <c r="P27">
        <v>-1.9207311703131207E-4</v>
      </c>
      <c r="Q27">
        <v>2.0759784063241452E-4</v>
      </c>
      <c r="R27">
        <v>-8.6264400349683648E-5</v>
      </c>
      <c r="S27">
        <v>-2.7234036827243093E-4</v>
      </c>
      <c r="T27">
        <v>2.308189150632405E-6</v>
      </c>
      <c r="U27">
        <v>-2.4902419424696219E-4</v>
      </c>
      <c r="V27">
        <v>9.220092520512385E-5</v>
      </c>
      <c r="W27">
        <v>-5.6721182092902037E-5</v>
      </c>
      <c r="X27">
        <v>-1.8939535630619155E-4</v>
      </c>
      <c r="Y27">
        <v>-1.4105978441622061E-4</v>
      </c>
      <c r="Z27">
        <v>-1.2822588938416545E-4</v>
      </c>
      <c r="AA27">
        <v>7.9538159568236135E-4</v>
      </c>
      <c r="AB27">
        <v>4.457779425538484E-3</v>
      </c>
      <c r="AC27">
        <v>3.7629052355877407E-5</v>
      </c>
      <c r="AD27">
        <v>-8.7583067108481063E-4</v>
      </c>
      <c r="AE27">
        <v>5.7965814224204842E-5</v>
      </c>
      <c r="AF27">
        <v>2.5807902245204772E-3</v>
      </c>
    </row>
    <row r="28" spans="1:32" x14ac:dyDescent="0.2">
      <c r="A28" t="s">
        <v>60</v>
      </c>
      <c r="B28">
        <v>-0.4798228252780507</v>
      </c>
      <c r="C28">
        <v>-2.0599383813811514E-5</v>
      </c>
      <c r="D28">
        <v>-5.1421144777178372E-5</v>
      </c>
      <c r="E28">
        <v>7.8005903958221288E-7</v>
      </c>
      <c r="F28">
        <v>1.2690773982487573E-5</v>
      </c>
      <c r="G28">
        <v>3.2553682570858221E-4</v>
      </c>
      <c r="H28">
        <v>4.793425591367354E-4</v>
      </c>
      <c r="I28">
        <v>2.4296540258966423E-4</v>
      </c>
      <c r="J28">
        <v>1.1857043577067228E-4</v>
      </c>
      <c r="K28">
        <v>1.9642548064529577E-4</v>
      </c>
      <c r="L28">
        <v>2.8942878634061371E-4</v>
      </c>
      <c r="M28">
        <v>3.5175900263562272E-4</v>
      </c>
      <c r="N28">
        <v>7.6739270380916588E-5</v>
      </c>
      <c r="O28">
        <v>8.8979808235138929E-4</v>
      </c>
      <c r="P28">
        <v>6.4891673791304147E-4</v>
      </c>
      <c r="Q28">
        <v>8.0616989676829387E-4</v>
      </c>
      <c r="R28">
        <v>8.1760394751968063E-4</v>
      </c>
      <c r="S28">
        <v>2.3603575976264017E-4</v>
      </c>
      <c r="T28">
        <v>8.5620122231748312E-4</v>
      </c>
      <c r="U28">
        <v>1.0130821971961975E-3</v>
      </c>
      <c r="V28">
        <v>9.7741732400680702E-4</v>
      </c>
      <c r="W28">
        <v>1.0001953792593316E-3</v>
      </c>
      <c r="X28">
        <v>9.7691360025171578E-4</v>
      </c>
      <c r="Y28">
        <v>1.0854516708666087E-3</v>
      </c>
      <c r="Z28">
        <v>-2.1917991800439777E-5</v>
      </c>
      <c r="AA28">
        <v>-1.4349466299931699E-5</v>
      </c>
      <c r="AB28">
        <v>3.7629052355877407E-5</v>
      </c>
      <c r="AC28">
        <v>3.8026550845294566E-3</v>
      </c>
      <c r="AD28">
        <v>1.6076323219412422E-3</v>
      </c>
      <c r="AE28">
        <v>5.6155908132599552E-4</v>
      </c>
      <c r="AF28">
        <v>-4.1191019213865777E-4</v>
      </c>
    </row>
    <row r="29" spans="1:32" x14ac:dyDescent="0.2">
      <c r="A29" t="s">
        <v>61</v>
      </c>
      <c r="B29">
        <v>-0.20440520498978301</v>
      </c>
      <c r="C29">
        <v>-4.7149176486758614E-4</v>
      </c>
      <c r="D29">
        <v>2.5038700768558256E-4</v>
      </c>
      <c r="E29">
        <v>-5.7861282063362827E-6</v>
      </c>
      <c r="F29">
        <v>9.4297749891236304E-4</v>
      </c>
      <c r="G29">
        <v>9.958487500214214E-4</v>
      </c>
      <c r="H29">
        <v>7.0980837334838924E-4</v>
      </c>
      <c r="I29">
        <v>-6.613609584761428E-4</v>
      </c>
      <c r="J29">
        <v>-3.9227205058577595E-4</v>
      </c>
      <c r="K29">
        <v>-1.3283565489415495E-4</v>
      </c>
      <c r="L29">
        <v>-3.0057455987180307E-4</v>
      </c>
      <c r="M29">
        <v>9.3745277932571515E-4</v>
      </c>
      <c r="N29">
        <v>-1.3411624186865801E-4</v>
      </c>
      <c r="O29">
        <v>4.0565538540559797E-3</v>
      </c>
      <c r="P29">
        <v>3.7078822696152889E-3</v>
      </c>
      <c r="Q29">
        <v>3.7673529644965944E-3</v>
      </c>
      <c r="R29">
        <v>3.8455019985996655E-3</v>
      </c>
      <c r="S29">
        <v>3.7007543919348007E-3</v>
      </c>
      <c r="T29">
        <v>3.4918990804817633E-3</v>
      </c>
      <c r="U29">
        <v>6.2246576671145734E-3</v>
      </c>
      <c r="V29">
        <v>4.0540843389370966E-3</v>
      </c>
      <c r="W29">
        <v>4.227232044407842E-3</v>
      </c>
      <c r="X29">
        <v>4.0626064447288196E-3</v>
      </c>
      <c r="Y29">
        <v>4.1961266474661359E-3</v>
      </c>
      <c r="Z29">
        <v>1.6061840862529377E-4</v>
      </c>
      <c r="AA29">
        <v>-9.0025848297930772E-4</v>
      </c>
      <c r="AB29">
        <v>-8.7583067108481063E-4</v>
      </c>
      <c r="AC29">
        <v>1.6076323219412422E-3</v>
      </c>
      <c r="AD29">
        <v>2.2148300869664943E-2</v>
      </c>
      <c r="AE29">
        <v>1.4730329928058614E-3</v>
      </c>
      <c r="AF29">
        <v>-9.8627648502508259E-3</v>
      </c>
    </row>
    <row r="30" spans="1:32" x14ac:dyDescent="0.2">
      <c r="A30" t="s">
        <v>62</v>
      </c>
      <c r="B30">
        <v>-0.20992770628085858</v>
      </c>
      <c r="C30">
        <v>-2.4216010275010592E-5</v>
      </c>
      <c r="D30">
        <v>3.1623440649669902E-5</v>
      </c>
      <c r="E30">
        <v>-1.0915277513781723E-6</v>
      </c>
      <c r="F30">
        <v>-1.6788434318726515E-4</v>
      </c>
      <c r="G30">
        <v>-9.529260626359626E-5</v>
      </c>
      <c r="H30">
        <v>-5.4739881428440265E-5</v>
      </c>
      <c r="I30">
        <v>-5.7073530645228862E-5</v>
      </c>
      <c r="J30">
        <v>-4.0313732663310058E-5</v>
      </c>
      <c r="K30">
        <v>-3.678219805361481E-5</v>
      </c>
      <c r="L30">
        <v>6.756641963733196E-5</v>
      </c>
      <c r="M30">
        <v>2.8017165294491901E-4</v>
      </c>
      <c r="N30">
        <v>9.9494135433479962E-5</v>
      </c>
      <c r="O30">
        <v>6.8659941555398931E-4</v>
      </c>
      <c r="P30">
        <v>4.1027442714807431E-4</v>
      </c>
      <c r="Q30">
        <v>6.6304719259550286E-4</v>
      </c>
      <c r="R30">
        <v>5.601594128802201E-4</v>
      </c>
      <c r="S30">
        <v>2.2952962553594164E-4</v>
      </c>
      <c r="T30">
        <v>4.6633034542556748E-4</v>
      </c>
      <c r="U30">
        <v>6.9089281090230713E-4</v>
      </c>
      <c r="V30">
        <v>8.5145815746772986E-4</v>
      </c>
      <c r="W30">
        <v>7.90384155859607E-4</v>
      </c>
      <c r="X30">
        <v>6.2913858855751697E-4</v>
      </c>
      <c r="Y30">
        <v>7.2922057288449813E-4</v>
      </c>
      <c r="Z30">
        <v>-3.0810460231410312E-5</v>
      </c>
      <c r="AA30">
        <v>8.1312700733148055E-4</v>
      </c>
      <c r="AB30">
        <v>5.7965814224204842E-5</v>
      </c>
      <c r="AC30">
        <v>5.6155908132599552E-4</v>
      </c>
      <c r="AD30">
        <v>1.4730329928058614E-3</v>
      </c>
      <c r="AE30">
        <v>7.5885216199941506E-3</v>
      </c>
      <c r="AF30">
        <v>-4.7846108826925823E-4</v>
      </c>
    </row>
    <row r="31" spans="1:32" x14ac:dyDescent="0.2">
      <c r="A31" t="s">
        <v>27</v>
      </c>
      <c r="B31">
        <v>-3.7898611329164122</v>
      </c>
      <c r="C31">
        <v>4.9682436959361416E-4</v>
      </c>
      <c r="D31">
        <v>-1.7514934000154542E-2</v>
      </c>
      <c r="E31">
        <v>3.1826043205515137E-4</v>
      </c>
      <c r="F31">
        <v>-1.1777815928539704E-2</v>
      </c>
      <c r="G31">
        <v>-8.0302498767641749E-3</v>
      </c>
      <c r="H31">
        <v>-9.3680085557710947E-3</v>
      </c>
      <c r="I31">
        <v>-1.1643344785943179E-2</v>
      </c>
      <c r="J31">
        <v>-9.8749837216438457E-3</v>
      </c>
      <c r="K31">
        <v>-1.2062052359739724E-2</v>
      </c>
      <c r="L31">
        <v>-1.152302452652448E-2</v>
      </c>
      <c r="M31">
        <v>-1.1436455466038706E-2</v>
      </c>
      <c r="N31">
        <v>-1.2853668771424229E-2</v>
      </c>
      <c r="O31">
        <v>-7.2514304522253853E-3</v>
      </c>
      <c r="P31">
        <v>-6.4453537719234774E-3</v>
      </c>
      <c r="Q31">
        <v>-7.538787676784591E-3</v>
      </c>
      <c r="R31">
        <v>-6.0338518062252227E-3</v>
      </c>
      <c r="S31">
        <v>-6.0445062227189724E-3</v>
      </c>
      <c r="T31">
        <v>-6.7712057912613201E-3</v>
      </c>
      <c r="U31">
        <v>-6.7438437145954881E-3</v>
      </c>
      <c r="V31">
        <v>-7.0156974466466914E-3</v>
      </c>
      <c r="W31">
        <v>-6.0112535132983572E-3</v>
      </c>
      <c r="X31">
        <v>-9.0350103890579937E-3</v>
      </c>
      <c r="Y31">
        <v>-4.2619176919000438E-3</v>
      </c>
      <c r="Z31">
        <v>-4.969047454233944E-4</v>
      </c>
      <c r="AA31">
        <v>1.9630668412878266E-3</v>
      </c>
      <c r="AB31">
        <v>2.5807902245204772E-3</v>
      </c>
      <c r="AC31">
        <v>-4.1191019213865777E-4</v>
      </c>
      <c r="AD31">
        <v>-9.8627648502508259E-3</v>
      </c>
      <c r="AE31">
        <v>-4.7846108826925823E-4</v>
      </c>
      <c r="AF31">
        <v>0.2640196494617007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P1_comp</vt:lpstr>
      <vt:lpstr>Info</vt:lpstr>
      <vt:lpstr>Gof</vt:lpstr>
      <vt:lpstr>P1_orig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created xsi:type="dcterms:W3CDTF">2026-05-28T14:09:41Z</dcterms:created>
  <dcterms:modified xsi:type="dcterms:W3CDTF">2026-05-29T14:31:46Z</dcterms:modified>
</cp:coreProperties>
</file>