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A0146CD4-1D94-0844-B340-9F2DD6C43EDA}" xr6:coauthVersionLast="47" xr6:coauthVersionMax="47" xr10:uidLastSave="{00000000-0000-0000-0000-000000000000}"/>
  <bookViews>
    <workbookView xWindow="0" yWindow="600" windowWidth="38400" windowHeight="19680" activeTab="12" xr2:uid="{00000000-000D-0000-FFFF-FFFF00000000}"/>
  </bookViews>
  <sheets>
    <sheet name="E1a_comp" sheetId="11" r:id="rId1"/>
    <sheet name="E1b_comp" sheetId="12" r:id="rId2"/>
    <sheet name="E2_comp" sheetId="13" r:id="rId3"/>
    <sheet name="Info" sheetId="1" r:id="rId4"/>
    <sheet name="Gof" sheetId="2" r:id="rId5"/>
    <sheet name="E1a_orig" sheetId="3" r:id="rId6"/>
    <sheet name="E1b_orig" sheetId="4" r:id="rId7"/>
    <sheet name="E2_orig_raw" sheetId="5" r:id="rId8"/>
    <sheet name="E2_orig" sheetId="6" r:id="rId9"/>
    <sheet name="E1a" sheetId="7" r:id="rId10"/>
    <sheet name="E1b" sheetId="8" r:id="rId11"/>
    <sheet name="E2_raw" sheetId="9" r:id="rId12"/>
    <sheet name="E2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3" l="1"/>
  <c r="D32" i="13"/>
  <c r="B32" i="13"/>
  <c r="G32" i="13" s="1"/>
  <c r="A32" i="13"/>
  <c r="E31" i="13"/>
  <c r="D31" i="13"/>
  <c r="B31" i="13"/>
  <c r="G31" i="13" s="1"/>
  <c r="A31" i="13"/>
  <c r="E30" i="13"/>
  <c r="G30" i="13" s="1"/>
  <c r="D30" i="13"/>
  <c r="B30" i="13"/>
  <c r="A30" i="13"/>
  <c r="E29" i="13"/>
  <c r="D29" i="13"/>
  <c r="B29" i="13"/>
  <c r="G29" i="13" s="1"/>
  <c r="A29" i="13"/>
  <c r="G28" i="13"/>
  <c r="E28" i="13"/>
  <c r="D28" i="13"/>
  <c r="B28" i="13"/>
  <c r="A28" i="13"/>
  <c r="E27" i="13"/>
  <c r="D27" i="13"/>
  <c r="B27" i="13"/>
  <c r="G27" i="13" s="1"/>
  <c r="A27" i="13"/>
  <c r="E26" i="13"/>
  <c r="G26" i="13" s="1"/>
  <c r="D26" i="13"/>
  <c r="B26" i="13"/>
  <c r="A26" i="13"/>
  <c r="G25" i="13"/>
  <c r="E25" i="13"/>
  <c r="D25" i="13"/>
  <c r="B25" i="13"/>
  <c r="A25" i="13"/>
  <c r="E24" i="13"/>
  <c r="D24" i="13"/>
  <c r="B24" i="13"/>
  <c r="G24" i="13" s="1"/>
  <c r="A24" i="13"/>
  <c r="G23" i="13"/>
  <c r="E23" i="13"/>
  <c r="D23" i="13"/>
  <c r="B23" i="13"/>
  <c r="A23" i="13"/>
  <c r="E22" i="13"/>
  <c r="D22" i="13"/>
  <c r="B22" i="13"/>
  <c r="G22" i="13" s="1"/>
  <c r="A22" i="13"/>
  <c r="E21" i="13"/>
  <c r="G21" i="13" s="1"/>
  <c r="D21" i="13"/>
  <c r="B21" i="13"/>
  <c r="A21" i="13"/>
  <c r="E20" i="13"/>
  <c r="D20" i="13"/>
  <c r="B20" i="13"/>
  <c r="G20" i="13" s="1"/>
  <c r="A20" i="13"/>
  <c r="E19" i="13"/>
  <c r="D19" i="13"/>
  <c r="B19" i="13"/>
  <c r="G19" i="13" s="1"/>
  <c r="A19" i="13"/>
  <c r="E18" i="13"/>
  <c r="G18" i="13" s="1"/>
  <c r="D18" i="13"/>
  <c r="B18" i="13"/>
  <c r="A18" i="13"/>
  <c r="E17" i="13"/>
  <c r="D17" i="13"/>
  <c r="B17" i="13"/>
  <c r="G17" i="13" s="1"/>
  <c r="A17" i="13"/>
  <c r="G16" i="13"/>
  <c r="E16" i="13"/>
  <c r="D16" i="13"/>
  <c r="B16" i="13"/>
  <c r="A16" i="13"/>
  <c r="E15" i="13"/>
  <c r="D15" i="13"/>
  <c r="B15" i="13"/>
  <c r="G15" i="13" s="1"/>
  <c r="A15" i="13"/>
  <c r="E14" i="13"/>
  <c r="G14" i="13" s="1"/>
  <c r="D14" i="13"/>
  <c r="B14" i="13"/>
  <c r="A14" i="13"/>
  <c r="G13" i="13"/>
  <c r="E13" i="13"/>
  <c r="D13" i="13"/>
  <c r="B13" i="13"/>
  <c r="A13" i="13"/>
  <c r="E12" i="13"/>
  <c r="D12" i="13"/>
  <c r="B12" i="13"/>
  <c r="G12" i="13" s="1"/>
  <c r="A12" i="13"/>
  <c r="G11" i="13"/>
  <c r="E11" i="13"/>
  <c r="D11" i="13"/>
  <c r="B11" i="13"/>
  <c r="A11" i="13"/>
  <c r="E10" i="13"/>
  <c r="D10" i="13"/>
  <c r="B10" i="13"/>
  <c r="G10" i="13" s="1"/>
  <c r="A10" i="13"/>
  <c r="E9" i="13"/>
  <c r="G9" i="13" s="1"/>
  <c r="D9" i="13"/>
  <c r="B9" i="13"/>
  <c r="A9" i="13"/>
  <c r="E8" i="13"/>
  <c r="D8" i="13"/>
  <c r="B8" i="13"/>
  <c r="G8" i="13" s="1"/>
  <c r="A8" i="13"/>
  <c r="E7" i="13"/>
  <c r="D7" i="13"/>
  <c r="B7" i="13"/>
  <c r="G7" i="13" s="1"/>
  <c r="A7" i="13"/>
  <c r="E6" i="13"/>
  <c r="G6" i="13" s="1"/>
  <c r="D6" i="13"/>
  <c r="B6" i="13"/>
  <c r="A6" i="13"/>
  <c r="E5" i="13"/>
  <c r="D5" i="13"/>
  <c r="B5" i="13"/>
  <c r="G5" i="13" s="1"/>
  <c r="A5" i="13"/>
  <c r="G4" i="13"/>
  <c r="E4" i="13"/>
  <c r="D4" i="13"/>
  <c r="B4" i="13"/>
  <c r="A4" i="13"/>
  <c r="E3" i="13"/>
  <c r="D3" i="13"/>
  <c r="B3" i="13"/>
  <c r="G3" i="13" s="1"/>
  <c r="A3" i="13"/>
  <c r="E2" i="13"/>
  <c r="G2" i="13" s="1"/>
  <c r="D2" i="13"/>
  <c r="B2" i="13"/>
  <c r="A2" i="13"/>
  <c r="E1" i="13"/>
  <c r="D1" i="13"/>
  <c r="B1" i="13"/>
  <c r="A1" i="13"/>
  <c r="E30" i="12"/>
  <c r="D30" i="12"/>
  <c r="B30" i="12"/>
  <c r="G30" i="12" s="1"/>
  <c r="A30" i="12"/>
  <c r="G29" i="12"/>
  <c r="E29" i="12"/>
  <c r="D29" i="12"/>
  <c r="B29" i="12"/>
  <c r="A29" i="12"/>
  <c r="E28" i="12"/>
  <c r="D28" i="12"/>
  <c r="B28" i="12"/>
  <c r="G28" i="12" s="1"/>
  <c r="A28" i="12"/>
  <c r="E27" i="12"/>
  <c r="G27" i="12" s="1"/>
  <c r="D27" i="12"/>
  <c r="B27" i="12"/>
  <c r="A27" i="12"/>
  <c r="G26" i="12"/>
  <c r="E26" i="12"/>
  <c r="D26" i="12"/>
  <c r="B26" i="12"/>
  <c r="A26" i="12"/>
  <c r="E25" i="12"/>
  <c r="D25" i="12"/>
  <c r="B25" i="12"/>
  <c r="G25" i="12" s="1"/>
  <c r="A25" i="12"/>
  <c r="G24" i="12"/>
  <c r="E24" i="12"/>
  <c r="D24" i="12"/>
  <c r="B24" i="12"/>
  <c r="A24" i="12"/>
  <c r="E23" i="12"/>
  <c r="D23" i="12"/>
  <c r="B23" i="12"/>
  <c r="G23" i="12" s="1"/>
  <c r="A23" i="12"/>
  <c r="E22" i="12"/>
  <c r="G22" i="12" s="1"/>
  <c r="D22" i="12"/>
  <c r="B22" i="12"/>
  <c r="A22" i="12"/>
  <c r="E21" i="12"/>
  <c r="D21" i="12"/>
  <c r="B21" i="12"/>
  <c r="G21" i="12" s="1"/>
  <c r="A21" i="12"/>
  <c r="E20" i="12"/>
  <c r="D20" i="12"/>
  <c r="B20" i="12"/>
  <c r="G20" i="12" s="1"/>
  <c r="A20" i="12"/>
  <c r="E19" i="12"/>
  <c r="G19" i="12" s="1"/>
  <c r="D19" i="12"/>
  <c r="B19" i="12"/>
  <c r="A19" i="12"/>
  <c r="E18" i="12"/>
  <c r="D18" i="12"/>
  <c r="B18" i="12"/>
  <c r="G18" i="12" s="1"/>
  <c r="A18" i="12"/>
  <c r="G17" i="12"/>
  <c r="E17" i="12"/>
  <c r="D17" i="12"/>
  <c r="B17" i="12"/>
  <c r="A17" i="12"/>
  <c r="E16" i="12"/>
  <c r="D16" i="12"/>
  <c r="B16" i="12"/>
  <c r="G16" i="12" s="1"/>
  <c r="A16" i="12"/>
  <c r="E15" i="12"/>
  <c r="G15" i="12" s="1"/>
  <c r="D15" i="12"/>
  <c r="B15" i="12"/>
  <c r="A15" i="12"/>
  <c r="G14" i="12"/>
  <c r="E14" i="12"/>
  <c r="D14" i="12"/>
  <c r="B14" i="12"/>
  <c r="A14" i="12"/>
  <c r="E13" i="12"/>
  <c r="D13" i="12"/>
  <c r="B13" i="12"/>
  <c r="G13" i="12" s="1"/>
  <c r="A13" i="12"/>
  <c r="G12" i="12"/>
  <c r="E12" i="12"/>
  <c r="D12" i="12"/>
  <c r="B12" i="12"/>
  <c r="A12" i="12"/>
  <c r="E11" i="12"/>
  <c r="D11" i="12"/>
  <c r="B11" i="12"/>
  <c r="G11" i="12" s="1"/>
  <c r="A11" i="12"/>
  <c r="E10" i="12"/>
  <c r="G10" i="12" s="1"/>
  <c r="D10" i="12"/>
  <c r="B10" i="12"/>
  <c r="A10" i="12"/>
  <c r="E9" i="12"/>
  <c r="D9" i="12"/>
  <c r="B9" i="12"/>
  <c r="G9" i="12" s="1"/>
  <c r="A9" i="12"/>
  <c r="E8" i="12"/>
  <c r="D8" i="12"/>
  <c r="B8" i="12"/>
  <c r="G8" i="12" s="1"/>
  <c r="A8" i="12"/>
  <c r="E7" i="12"/>
  <c r="G7" i="12" s="1"/>
  <c r="D7" i="12"/>
  <c r="B7" i="12"/>
  <c r="A7" i="12"/>
  <c r="E6" i="12"/>
  <c r="D6" i="12"/>
  <c r="B6" i="12"/>
  <c r="G6" i="12" s="1"/>
  <c r="A6" i="12"/>
  <c r="G5" i="12"/>
  <c r="E5" i="12"/>
  <c r="D5" i="12"/>
  <c r="B5" i="12"/>
  <c r="A5" i="12"/>
  <c r="E4" i="12"/>
  <c r="D4" i="12"/>
  <c r="B4" i="12"/>
  <c r="G4" i="12" s="1"/>
  <c r="A4" i="12"/>
  <c r="E3" i="12"/>
  <c r="G3" i="12" s="1"/>
  <c r="D3" i="12"/>
  <c r="B3" i="12"/>
  <c r="A3" i="12"/>
  <c r="G2" i="12"/>
  <c r="E2" i="12"/>
  <c r="D2" i="12"/>
  <c r="B2" i="12"/>
  <c r="A2" i="12"/>
  <c r="E1" i="12"/>
  <c r="D1" i="12"/>
  <c r="B1" i="12"/>
  <c r="A1" i="12"/>
  <c r="G29" i="11"/>
  <c r="E29" i="11"/>
  <c r="D29" i="11"/>
  <c r="B29" i="11"/>
  <c r="A29" i="11"/>
  <c r="E28" i="11"/>
  <c r="D28" i="11"/>
  <c r="B28" i="11"/>
  <c r="G28" i="11" s="1"/>
  <c r="A28" i="11"/>
  <c r="G27" i="11"/>
  <c r="E27" i="11"/>
  <c r="D27" i="11"/>
  <c r="B27" i="11"/>
  <c r="A27" i="11"/>
  <c r="G26" i="11"/>
  <c r="E26" i="11"/>
  <c r="D26" i="11"/>
  <c r="B26" i="11"/>
  <c r="A26" i="11"/>
  <c r="E25" i="11"/>
  <c r="D25" i="11"/>
  <c r="B25" i="11"/>
  <c r="G25" i="11" s="1"/>
  <c r="A25" i="11"/>
  <c r="G24" i="11"/>
  <c r="E24" i="11"/>
  <c r="D24" i="11"/>
  <c r="B24" i="11"/>
  <c r="A24" i="11"/>
  <c r="E23" i="11"/>
  <c r="D23" i="11"/>
  <c r="B23" i="11"/>
  <c r="G23" i="11" s="1"/>
  <c r="A23" i="11"/>
  <c r="E22" i="11"/>
  <c r="G22" i="11" s="1"/>
  <c r="D22" i="11"/>
  <c r="B22" i="11"/>
  <c r="A22" i="11"/>
  <c r="E21" i="11"/>
  <c r="D21" i="11"/>
  <c r="B21" i="11"/>
  <c r="G21" i="11" s="1"/>
  <c r="A21" i="11"/>
  <c r="E20" i="11"/>
  <c r="D20" i="11"/>
  <c r="B20" i="11"/>
  <c r="G20" i="11" s="1"/>
  <c r="A20" i="11"/>
  <c r="E19" i="11"/>
  <c r="G19" i="11" s="1"/>
  <c r="D19" i="11"/>
  <c r="B19" i="11"/>
  <c r="A19" i="11"/>
  <c r="E18" i="11"/>
  <c r="D18" i="11"/>
  <c r="B18" i="11"/>
  <c r="G18" i="11" s="1"/>
  <c r="A18" i="11"/>
  <c r="G17" i="11"/>
  <c r="E17" i="11"/>
  <c r="D17" i="11"/>
  <c r="B17" i="11"/>
  <c r="A17" i="11"/>
  <c r="E16" i="11"/>
  <c r="D16" i="11"/>
  <c r="B16" i="11"/>
  <c r="G16" i="11" s="1"/>
  <c r="A16" i="11"/>
  <c r="E15" i="11"/>
  <c r="G15" i="11" s="1"/>
  <c r="D15" i="11"/>
  <c r="B15" i="11"/>
  <c r="A15" i="11"/>
  <c r="G14" i="11"/>
  <c r="E14" i="11"/>
  <c r="D14" i="11"/>
  <c r="B14" i="11"/>
  <c r="A14" i="11"/>
  <c r="E13" i="11"/>
  <c r="D13" i="11"/>
  <c r="B13" i="11"/>
  <c r="G13" i="11" s="1"/>
  <c r="A13" i="11"/>
  <c r="G12" i="11"/>
  <c r="E12" i="11"/>
  <c r="D12" i="11"/>
  <c r="B12" i="11"/>
  <c r="A12" i="11"/>
  <c r="E11" i="11"/>
  <c r="D11" i="11"/>
  <c r="B11" i="11"/>
  <c r="G11" i="11" s="1"/>
  <c r="A11" i="11"/>
  <c r="E10" i="11"/>
  <c r="G10" i="11" s="1"/>
  <c r="D10" i="11"/>
  <c r="B10" i="11"/>
  <c r="A10" i="11"/>
  <c r="E9" i="11"/>
  <c r="D9" i="11"/>
  <c r="B9" i="11"/>
  <c r="G9" i="11" s="1"/>
  <c r="A9" i="11"/>
  <c r="E8" i="11"/>
  <c r="D8" i="11"/>
  <c r="B8" i="11"/>
  <c r="G8" i="11" s="1"/>
  <c r="A8" i="11"/>
  <c r="E7" i="11"/>
  <c r="G7" i="11" s="1"/>
  <c r="D7" i="11"/>
  <c r="B7" i="11"/>
  <c r="A7" i="11"/>
  <c r="E6" i="11"/>
  <c r="D6" i="11"/>
  <c r="B6" i="11"/>
  <c r="G6" i="11" s="1"/>
  <c r="A6" i="11"/>
  <c r="G5" i="11"/>
  <c r="E5" i="11"/>
  <c r="D5" i="11"/>
  <c r="B5" i="11"/>
  <c r="A5" i="11"/>
  <c r="E4" i="11"/>
  <c r="D4" i="11"/>
  <c r="B4" i="11"/>
  <c r="G4" i="11" s="1"/>
  <c r="A4" i="11"/>
  <c r="E3" i="11"/>
  <c r="G3" i="11" s="1"/>
  <c r="D3" i="11"/>
  <c r="B3" i="11"/>
  <c r="A3" i="11"/>
  <c r="G2" i="11"/>
  <c r="E2" i="11"/>
  <c r="D2" i="11"/>
  <c r="B2" i="11"/>
  <c r="A2" i="11"/>
  <c r="E1" i="11"/>
  <c r="D1" i="11"/>
  <c r="B1" i="11"/>
  <c r="A1" i="11"/>
</calcChain>
</file>

<file path=xl/sharedStrings.xml><?xml version="1.0" encoding="utf-8"?>
<sst xmlns="http://schemas.openxmlformats.org/spreadsheetml/2006/main" count="616" uniqueCount="135">
  <si>
    <t>Description:</t>
  </si>
  <si>
    <t>Model parameters governing projection of education status</t>
  </si>
  <si>
    <t>Authors:</t>
  </si>
  <si>
    <t>Last edit:</t>
  </si>
  <si>
    <t>Process:</t>
  </si>
  <si>
    <t>E1a</t>
  </si>
  <si>
    <t>Prob. remain in education</t>
  </si>
  <si>
    <t>E1b</t>
  </si>
  <si>
    <t>Prob. retrun to education</t>
  </si>
  <si>
    <t>E2</t>
  </si>
  <si>
    <t>Educational attainment when leave education</t>
  </si>
  <si>
    <t>E2_raw</t>
  </si>
  <si>
    <t>Raw attainment results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</si>
  <si>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</si>
  <si>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</si>
  <si>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</si>
  <si>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</si>
  <si>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</si>
  <si>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</si>
  <si>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Dgn</t>
  </si>
  <si>
    <t>Dag</t>
  </si>
  <si>
    <t>Dag_sq</t>
  </si>
  <si>
    <t>Ded_L1</t>
  </si>
  <si>
    <t>Dehmf_c3_Medium_L1</t>
  </si>
  <si>
    <t>Dehmf_c3_Low_L1</t>
  </si>
  <si>
    <t>Ydses_c5_Q2_L1</t>
  </si>
  <si>
    <t>Ydses_c5_Q3_L1</t>
  </si>
  <si>
    <t>Ydses_c5_Q4_L1</t>
  </si>
  <si>
    <t>Ydses_c5_Q5_L1</t>
  </si>
  <si>
    <t>Year_transformed</t>
  </si>
  <si>
    <t>Y2020</t>
  </si>
  <si>
    <t>Y2021</t>
  </si>
  <si>
    <t>Constant</t>
  </si>
  <si>
    <t>E1a - Remain in education</t>
  </si>
  <si>
    <t>Pseudo R-squared</t>
  </si>
  <si>
    <t>N</t>
  </si>
  <si>
    <t>Chi^2</t>
  </si>
  <si>
    <t>Log likelihood</t>
  </si>
  <si>
    <t>Dcpst_Partnered_L1</t>
  </si>
  <si>
    <t>Deh_c4_High_L1</t>
  </si>
  <si>
    <t>Deh_c4_Low_L1</t>
  </si>
  <si>
    <t>Les_c3_NotEmployed_L1</t>
  </si>
  <si>
    <t>Dnc_L1</t>
  </si>
  <si>
    <t>Dnc02_L1</t>
  </si>
  <si>
    <t>E1b - Return to education</t>
  </si>
  <si>
    <t>Low</t>
  </si>
  <si>
    <t>Medium</t>
  </si>
  <si>
    <t>0b.Dgn</t>
  </si>
  <si>
    <t>1.Dgn</t>
  </si>
  <si>
    <t>0b.L_Dehmf_c3_Medium</t>
  </si>
  <si>
    <t>1.L_Dehmf_c3_Medium</t>
  </si>
  <si>
    <t>0b.L_Dehmf_c3_Low</t>
  </si>
  <si>
    <t>1.L_Dehmf_c3_Low</t>
  </si>
  <si>
    <t>_cons</t>
  </si>
  <si>
    <t>CATEGORY</t>
  </si>
  <si>
    <t>Dgn_Low</t>
  </si>
  <si>
    <t>Dag_Low</t>
  </si>
  <si>
    <t>Dag_sq_Low</t>
  </si>
  <si>
    <t>L_Dehmf_c3_Medium_</t>
  </si>
  <si>
    <t>L_Dehmf_c3_Low_</t>
  </si>
  <si>
    <t>Year_transformed_Low</t>
  </si>
  <si>
    <t>Y2020_</t>
  </si>
  <si>
    <t>Y2021_</t>
  </si>
  <si>
    <t>Constant_Low</t>
  </si>
  <si>
    <t>Dgn_Medium</t>
  </si>
  <si>
    <t>Dag_Medium</t>
  </si>
  <si>
    <t>Dag_sq_Medium</t>
  </si>
  <si>
    <t>Year_transformed_Medium</t>
  </si>
  <si>
    <t>Constant_Medium</t>
  </si>
  <si>
    <t>E2 - Education attainment</t>
  </si>
  <si>
    <t>Patryk Bronka, Justin van de Ven, Daria Popova, Aleksandra Kolndrekaj, Ashley Burdett</t>
  </si>
  <si>
    <t>15 April 2026 (DP)</t>
  </si>
  <si>
    <t>demMaleFlag</t>
  </si>
  <si>
    <t>demAge</t>
  </si>
  <si>
    <t>demAgeSq</t>
  </si>
  <si>
    <t>eduSampleFlagL1</t>
  </si>
  <si>
    <t>eduHighestParentC3MediumL1</t>
  </si>
  <si>
    <t>eduHighestParentC3LowL1</t>
  </si>
  <si>
    <t>yHhQuintilesMonthC5Q2L1</t>
  </si>
  <si>
    <t>yHhQuintilesMonthC5Q3L1</t>
  </si>
  <si>
    <t>yHhQuintilesMonthC5Q4L1</t>
  </si>
  <si>
    <t>yHhQuintilesMonthC5Q5L1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</si>
  <si>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</si>
  <si>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</si>
  <si>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</si>
  <si>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</si>
  <si>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</si>
  <si>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</si>
  <si>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</si>
  <si>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</si>
  <si>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</si>
  <si>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</si>
  <si>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</si>
  <si>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</si>
  <si>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</si>
  <si>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</si>
  <si>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</si>
  <si>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</si>
  <si>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demPartnerStatusPartneredL1</t>
  </si>
  <si>
    <t>eduHighestC4HighL1</t>
  </si>
  <si>
    <t>eduHighestC4LowL1</t>
  </si>
  <si>
    <t>labStatusC3NotEmployedL1</t>
  </si>
  <si>
    <t>demNChildL1</t>
  </si>
  <si>
    <t>demNChild0to2L1</t>
  </si>
  <si>
    <t>demRgnUKE_Low</t>
  </si>
  <si>
    <t>demRgnUKM_Low</t>
  </si>
  <si>
    <t>demRgnUKN_Low</t>
  </si>
  <si>
    <t>demRgnUKE_Medium</t>
  </si>
  <si>
    <t>demRgnUKM_Medium</t>
  </si>
  <si>
    <t>demRgnUKN_Medium</t>
  </si>
  <si>
    <t>comp</t>
  </si>
  <si>
    <t>demRgnUKC_</t>
  </si>
  <si>
    <t>demRgnUKD_</t>
  </si>
  <si>
    <t>demRgnUKF_</t>
  </si>
  <si>
    <t>demRgnUKG_</t>
  </si>
  <si>
    <t>demRgnUKH_</t>
  </si>
  <si>
    <t>demRgnUKJ_</t>
  </si>
  <si>
    <t>demRgnUKK_</t>
  </si>
  <si>
    <t>demRgnUKL_</t>
  </si>
  <si>
    <t>demEthnC4Asian_</t>
  </si>
  <si>
    <t>demEthnC4Black_</t>
  </si>
  <si>
    <t>demEthnC4Other_</t>
  </si>
  <si>
    <t>demMaleFlag_Low</t>
  </si>
  <si>
    <t>demAge_Low</t>
  </si>
  <si>
    <t>demAgeSq_Low</t>
  </si>
  <si>
    <t>eduHighestParentC3MediumL1_</t>
  </si>
  <si>
    <t>eduHighestParentC3LowL1_</t>
  </si>
  <si>
    <t>demYear2020_</t>
  </si>
  <si>
    <t>demYear2021_</t>
  </si>
  <si>
    <t>demMaleFlag_Medium</t>
  </si>
  <si>
    <t>demAge_Medium</t>
  </si>
  <si>
    <t>demAgeSq_Medium</t>
  </si>
  <si>
    <t>demYearTransformed</t>
  </si>
  <si>
    <t>demYearTransformed_Low</t>
  </si>
  <si>
    <t>demYearTransformed_Medium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</si>
</sst>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7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8">
    <xf numFmtId="0" fontId="0" fillId="0" borderId="0" xfId="0"/>
    <xf numFmtId="164" fontId="0" fillId="0" borderId="0" xfId="0" applyNumberFormat="1"/>
    <xf numFmtId="2" fontId="1" fillId="0" borderId="1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4" fillId="0" borderId="4" xfId="0" applyNumberFormat="1" applyFont="1" applyBorder="1"/>
    <xf numFmtId="2" fontId="5" fillId="0" borderId="5" xfId="0" applyNumberFormat="1" applyFont="1" applyBorder="1"/>
    <xf numFmtId="2" fontId="6" fillId="0" borderId="6" xfId="0" applyNumberFormat="1" applyFont="1" applyBorder="1"/>
    <xf numFmtId="2" fontId="7" fillId="0" borderId="7" xfId="0" applyNumberFormat="1" applyFont="1" applyBorder="1"/>
    <xf numFmtId="2" fontId="8" fillId="0" borderId="8" xfId="0" applyNumberFormat="1" applyFont="1" applyBorder="1"/>
    <xf numFmtId="2" fontId="9" fillId="0" borderId="9" xfId="0" applyNumberFormat="1" applyFont="1" applyBorder="1"/>
    <xf numFmtId="2" fontId="10" fillId="0" borderId="10" xfId="0" applyNumberFormat="1" applyFont="1" applyBorder="1"/>
    <xf numFmtId="2" fontId="11" fillId="0" borderId="11" xfId="0" applyNumberFormat="1" applyFont="1" applyBorder="1"/>
    <xf numFmtId="2" fontId="12" fillId="0" borderId="12" xfId="0" applyNumberFormat="1" applyFont="1" applyBorder="1"/>
    <xf numFmtId="2" fontId="13" fillId="0" borderId="13" xfId="0" applyNumberFormat="1" applyFont="1" applyBorder="1"/>
    <xf numFmtId="2" fontId="14" fillId="0" borderId="14" xfId="0" applyNumberFormat="1" applyFont="1" applyBorder="1"/>
    <xf numFmtId="2" fontId="15" fillId="0" borderId="15" xfId="0" applyNumberFormat="1" applyFont="1" applyBorder="1"/>
    <xf numFmtId="2" fontId="16" fillId="0" borderId="16" xfId="0" applyNumberFormat="1" applyFont="1" applyBorder="1"/>
    <xf numFmtId="2" fontId="17" fillId="0" borderId="17" xfId="0" applyNumberFormat="1" applyFont="1" applyBorder="1"/>
    <xf numFmtId="2" fontId="18" fillId="0" borderId="18" xfId="0" applyNumberFormat="1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2" fontId="26" fillId="0" borderId="26" xfId="0" applyNumberFormat="1" applyFont="1" applyBorder="1"/>
    <xf numFmtId="2" fontId="27" fillId="0" borderId="27" xfId="0" applyNumberFormat="1" applyFont="1" applyBorder="1"/>
    <xf numFmtId="2" fontId="28" fillId="0" borderId="28" xfId="0" applyNumberFormat="1" applyFont="1" applyBorder="1"/>
    <xf numFmtId="2" fontId="29" fillId="0" borderId="29" xfId="0" applyNumberFormat="1" applyFont="1" applyBorder="1"/>
    <xf numFmtId="2" fontId="30" fillId="0" borderId="30" xfId="0" applyNumberFormat="1" applyFont="1" applyBorder="1"/>
    <xf numFmtId="2" fontId="31" fillId="0" borderId="31" xfId="0" applyNumberFormat="1" applyFont="1" applyBorder="1"/>
    <xf numFmtId="2" fontId="32" fillId="0" borderId="32" xfId="0" applyNumberFormat="1" applyFont="1" applyBorder="1"/>
    <xf numFmtId="2" fontId="33" fillId="0" borderId="33" xfId="0" applyNumberFormat="1" applyFont="1" applyBorder="1"/>
    <xf numFmtId="2" fontId="34" fillId="0" borderId="34" xfId="0" applyNumberFormat="1" applyFont="1" applyBorder="1"/>
    <xf numFmtId="2" fontId="35" fillId="0" borderId="35" xfId="0" applyNumberFormat="1" applyFont="1" applyBorder="1"/>
    <xf numFmtId="2" fontId="36" fillId="0" borderId="36" xfId="0" applyNumberFormat="1" applyFont="1" applyBorder="1"/>
    <xf numFmtId="2" fontId="37" fillId="0" borderId="37" xfId="0" applyNumberFormat="1" applyFont="1" applyBorder="1"/>
    <xf numFmtId="2" fontId="38" fillId="0" borderId="38" xfId="0" applyNumberFormat="1" applyFont="1" applyBorder="1"/>
    <xf numFmtId="2" fontId="39" fillId="0" borderId="39" xfId="0" applyNumberFormat="1" applyFont="1" applyBorder="1"/>
    <xf numFmtId="2" fontId="40" fillId="0" borderId="40" xfId="0" applyNumberFormat="1" applyFont="1" applyBorder="1"/>
    <xf numFmtId="2" fontId="41" fillId="0" borderId="41" xfId="0" applyNumberFormat="1" applyFont="1" applyBorder="1"/>
    <xf numFmtId="2" fontId="42" fillId="0" borderId="42" xfId="0" applyNumberFormat="1" applyFont="1" applyBorder="1"/>
    <xf numFmtId="2" fontId="43" fillId="0" borderId="43" xfId="0" applyNumberFormat="1" applyFont="1" applyBorder="1"/>
    <xf numFmtId="2" fontId="44" fillId="0" borderId="44" xfId="0" applyNumberFormat="1" applyFont="1" applyBorder="1"/>
    <xf numFmtId="2" fontId="45" fillId="0" borderId="45" xfId="0" applyNumberFormat="1" applyFont="1" applyBorder="1"/>
    <xf numFmtId="2" fontId="46" fillId="0" borderId="46" xfId="0" applyNumberFormat="1" applyFont="1" applyBorder="1"/>
    <xf numFmtId="2" fontId="47" fillId="0" borderId="47" xfId="0" applyNumberFormat="1" applyFont="1" applyBorder="1"/>
    <xf numFmtId="2" fontId="48" fillId="0" borderId="48" xfId="0" applyNumberFormat="1" applyFont="1" applyBorder="1"/>
    <xf numFmtId="2" fontId="49" fillId="0" borderId="49" xfId="0" applyNumberFormat="1" applyFont="1" applyBorder="1"/>
    <xf numFmtId="2" fontId="50" fillId="0" borderId="50" xfId="0" applyNumberFormat="1" applyFont="1" applyBorder="1"/>
    <xf numFmtId="2" fontId="51" fillId="0" borderId="51" xfId="0" applyNumberFormat="1" applyFont="1" applyBorder="1"/>
    <xf numFmtId="2" fontId="52" fillId="0" borderId="52" xfId="0" applyNumberFormat="1" applyFont="1" applyBorder="1"/>
    <xf numFmtId="2" fontId="53" fillId="0" borderId="53" xfId="0" applyNumberFormat="1" applyFont="1" applyBorder="1"/>
    <xf numFmtId="2" fontId="54" fillId="0" borderId="54" xfId="0" applyNumberFormat="1" applyFont="1" applyBorder="1"/>
    <xf numFmtId="2" fontId="55" fillId="0" borderId="55" xfId="0" applyNumberFormat="1" applyFont="1" applyBorder="1"/>
    <xf numFmtId="2" fontId="56" fillId="0" borderId="56" xfId="0" applyNumberFormat="1" applyFont="1" applyBorder="1"/>
    <xf numFmtId="2" fontId="57" fillId="0" borderId="57" xfId="0" applyNumberFormat="1" applyFont="1" applyBorder="1"/>
    <xf numFmtId="2" fontId="58" fillId="0" borderId="58" xfId="0" applyNumberFormat="1" applyFont="1" applyBorder="1"/>
    <xf numFmtId="2" fontId="59" fillId="0" borderId="59" xfId="0" applyNumberFormat="1" applyFont="1" applyBorder="1"/>
    <xf numFmtId="2" fontId="60" fillId="0" borderId="60" xfId="0" applyNumberFormat="1" applyFont="1" applyBorder="1"/>
    <xf numFmtId="2" fontId="61" fillId="0" borderId="61" xfId="0" applyNumberFormat="1" applyFont="1" applyBorder="1"/>
    <xf numFmtId="2" fontId="62" fillId="0" borderId="62" xfId="0" applyNumberFormat="1" applyFont="1" applyBorder="1"/>
    <xf numFmtId="2" fontId="63" fillId="0" borderId="63" xfId="0" applyNumberFormat="1" applyFont="1" applyBorder="1"/>
    <xf numFmtId="2" fontId="64" fillId="0" borderId="64" xfId="0" applyNumberFormat="1" applyFont="1" applyBorder="1"/>
    <xf numFmtId="2" fontId="65" fillId="0" borderId="65" xfId="0" applyNumberFormat="1" applyFont="1" applyBorder="1"/>
    <xf numFmtId="2" fontId="66" fillId="0" borderId="66" xfId="0" applyNumberFormat="1" applyFont="1" applyBorder="1"/>
    <xf numFmtId="2" fontId="67" fillId="0" borderId="67" xfId="0" applyNumberFormat="1" applyFont="1" applyBorder="1"/>
    <xf numFmtId="2" fontId="68" fillId="0" borderId="68" xfId="0" applyNumberFormat="1" applyFont="1" applyBorder="1"/>
    <xf numFmtId="2" fontId="69" fillId="0" borderId="69" xfId="0" applyNumberFormat="1" applyFont="1" applyBorder="1"/>
    <xf numFmtId="2" fontId="70" fillId="0" borderId="70" xfId="0" applyNumberFormat="1" applyFont="1" applyBorder="1"/>
    <xf numFmtId="2" fontId="71" fillId="0" borderId="71" xfId="0" applyNumberFormat="1" applyFont="1" applyBorder="1"/>
    <xf numFmtId="2" fontId="72" fillId="0" borderId="72" xfId="0" applyNumberFormat="1" applyFont="1" applyBorder="1"/>
    <xf numFmtId="2" fontId="73" fillId="0" borderId="73" xfId="0" applyNumberFormat="1" applyFont="1" applyBorder="1"/>
    <xf numFmtId="2" fontId="74" fillId="0" borderId="74" xfId="0" applyNumberFormat="1" applyFont="1" applyBorder="1"/>
    <xf numFmtId="2" fontId="75" fillId="0" borderId="75" xfId="0" applyNumberFormat="1" applyFont="1" applyBorder="1"/>
    <xf numFmtId="2" fontId="76" fillId="0" borderId="76" xfId="0" applyNumberFormat="1" applyFont="1" applyBorder="1"/>
    <xf numFmtId="2" fontId="77" fillId="0" borderId="77" xfId="0" applyNumberFormat="1" applyFont="1" applyBorder="1"/>
    <xf numFmtId="2" fontId="78" fillId="0" borderId="78" xfId="0" applyNumberFormat="1" applyFont="1" applyBorder="1"/>
    <xf numFmtId="2" fontId="79" fillId="0" borderId="79" xfId="0" applyNumberFormat="1" applyFont="1" applyBorder="1"/>
    <xf numFmtId="2" fontId="80" fillId="0" borderId="80" xfId="0" applyNumberFormat="1" applyFont="1" applyBorder="1"/>
    <xf numFmtId="2" fontId="81" fillId="0" borderId="81" xfId="0" applyNumberFormat="1" applyFont="1" applyBorder="1"/>
    <xf numFmtId="2" fontId="82" fillId="0" borderId="82" xfId="0" applyNumberFormat="1" applyFont="1" applyBorder="1"/>
    <xf numFmtId="2" fontId="83" fillId="0" borderId="83" xfId="0" applyNumberFormat="1" applyFont="1" applyBorder="1"/>
    <xf numFmtId="2" fontId="84" fillId="0" borderId="84" xfId="0" applyNumberFormat="1" applyFont="1" applyBorder="1"/>
    <xf numFmtId="2" fontId="85" fillId="0" borderId="85" xfId="0" applyNumberFormat="1" applyFont="1" applyBorder="1"/>
    <xf numFmtId="2" fontId="86" fillId="0" borderId="86" xfId="0" applyNumberFormat="1" applyFont="1" applyBorder="1"/>
    <xf numFmtId="2" fontId="87" fillId="0" borderId="87" xfId="0" applyNumberFormat="1" applyFont="1" applyBorder="1"/>
    <xf numFmtId="2" fontId="88" fillId="0" borderId="88" xfId="0" applyNumberFormat="1" applyFont="1" applyBorder="1"/>
    <xf numFmtId="2" fontId="89" fillId="0" borderId="89" xfId="0" applyNumberFormat="1" applyFont="1" applyBorder="1"/>
    <xf numFmtId="2" fontId="90" fillId="0" borderId="90" xfId="0" applyNumberFormat="1" applyFont="1" applyBorder="1"/>
    <xf numFmtId="2" fontId="91" fillId="0" borderId="91" xfId="0" applyNumberFormat="1" applyFont="1" applyBorder="1"/>
    <xf numFmtId="2" fontId="92" fillId="0" borderId="92" xfId="0" applyNumberFormat="1" applyFont="1" applyBorder="1"/>
    <xf numFmtId="2" fontId="93" fillId="0" borderId="93" xfId="0" applyNumberFormat="1" applyFont="1" applyBorder="1"/>
    <xf numFmtId="2" fontId="94" fillId="0" borderId="94" xfId="0" applyNumberFormat="1" applyFont="1" applyBorder="1"/>
    <xf numFmtId="2" fontId="95" fillId="0" borderId="95" xfId="0" applyNumberFormat="1" applyFont="1" applyBorder="1"/>
    <xf numFmtId="2" fontId="96" fillId="0" borderId="96" xfId="0" applyNumberFormat="1" applyFont="1" applyBorder="1"/>
    <xf numFmtId="2" fontId="97" fillId="0" borderId="97" xfId="0" applyNumberFormat="1" applyFont="1" applyBorder="1"/>
    <xf numFmtId="2" fontId="98" fillId="0" borderId="98" xfId="0" applyNumberFormat="1" applyFont="1" applyBorder="1"/>
    <xf numFmtId="2" fontId="99" fillId="0" borderId="99" xfId="0" applyNumberFormat="1" applyFont="1" applyBorder="1"/>
    <xf numFmtId="2" fontId="100" fillId="0" borderId="100" xfId="0" applyNumberFormat="1" applyFont="1" applyBorder="1"/>
    <xf numFmtId="2" fontId="101" fillId="0" borderId="101" xfId="0" applyNumberFormat="1" applyFont="1" applyBorder="1"/>
    <xf numFmtId="2" fontId="102" fillId="0" borderId="102" xfId="0" applyNumberFormat="1" applyFont="1" applyBorder="1"/>
    <xf numFmtId="2" fontId="103" fillId="0" borderId="103" xfId="0" applyNumberFormat="1" applyFont="1" applyBorder="1"/>
    <xf numFmtId="2" fontId="104" fillId="0" borderId="104" xfId="0" applyNumberFormat="1" applyFont="1" applyBorder="1"/>
    <xf numFmtId="2" fontId="105" fillId="0" borderId="105" xfId="0" applyNumberFormat="1" applyFont="1" applyBorder="1"/>
    <xf numFmtId="2" fontId="106" fillId="0" borderId="106" xfId="0" applyNumberFormat="1" applyFont="1" applyBorder="1"/>
    <xf numFmtId="2" fontId="107" fillId="0" borderId="107" xfId="0" applyNumberFormat="1" applyFont="1" applyBorder="1"/>
    <xf numFmtId="2" fontId="108" fillId="0" borderId="108" xfId="0" applyNumberFormat="1" applyFont="1" applyBorder="1"/>
    <xf numFmtId="2" fontId="109" fillId="0" borderId="109" xfId="0" applyNumberFormat="1" applyFont="1" applyBorder="1"/>
    <xf numFmtId="2" fontId="110" fillId="0" borderId="110" xfId="0" applyNumberFormat="1" applyFont="1" applyBorder="1"/>
    <xf numFmtId="2" fontId="111" fillId="0" borderId="111" xfId="0" applyNumberFormat="1" applyFont="1" applyBorder="1"/>
    <xf numFmtId="2" fontId="112" fillId="0" borderId="112" xfId="0" applyNumberFormat="1" applyFont="1" applyBorder="1"/>
    <xf numFmtId="2" fontId="113" fillId="0" borderId="113" xfId="0" applyNumberFormat="1" applyFont="1" applyBorder="1"/>
    <xf numFmtId="2" fontId="114" fillId="0" borderId="114" xfId="0" applyNumberFormat="1" applyFont="1" applyBorder="1"/>
    <xf numFmtId="2" fontId="115" fillId="0" borderId="115" xfId="0" applyNumberFormat="1" applyFont="1" applyBorder="1"/>
    <xf numFmtId="2" fontId="116" fillId="0" borderId="116" xfId="0" applyNumberFormat="1" applyFont="1" applyBorder="1"/>
    <xf numFmtId="2" fontId="117" fillId="0" borderId="117" xfId="0" applyNumberFormat="1" applyFont="1" applyBorder="1"/>
    <xf numFmtId="2" fontId="118" fillId="0" borderId="118" xfId="0" applyNumberFormat="1" applyFont="1" applyBorder="1"/>
    <xf numFmtId="2" fontId="119" fillId="0" borderId="119" xfId="0" applyNumberFormat="1" applyFont="1" applyBorder="1"/>
    <xf numFmtId="2" fontId="120" fillId="0" borderId="120" xfId="0" applyNumberFormat="1" applyFont="1" applyBorder="1"/>
    <xf numFmtId="2" fontId="121" fillId="0" borderId="121" xfId="0" applyNumberFormat="1" applyFont="1" applyBorder="1"/>
    <xf numFmtId="2" fontId="122" fillId="0" borderId="122" xfId="0" applyNumberFormat="1" applyFont="1" applyBorder="1"/>
    <xf numFmtId="2" fontId="123" fillId="0" borderId="123" xfId="0" applyNumberFormat="1" applyFont="1" applyBorder="1"/>
    <xf numFmtId="2" fontId="124" fillId="0" borderId="124" xfId="0" applyNumberFormat="1" applyFont="1" applyBorder="1"/>
    <xf numFmtId="2" fontId="125" fillId="0" borderId="125" xfId="0" applyNumberFormat="1" applyFont="1" applyBorder="1"/>
    <xf numFmtId="2" fontId="126" fillId="0" borderId="126" xfId="0" applyNumberFormat="1" applyFont="1" applyBorder="1"/>
    <xf numFmtId="2" fontId="127" fillId="0" borderId="127" xfId="0" applyNumberFormat="1" applyFont="1" applyBorder="1"/>
    <xf numFmtId="2" fontId="128" fillId="0" borderId="128" xfId="0" applyNumberFormat="1" applyFont="1" applyBorder="1"/>
    <xf numFmtId="2" fontId="129" fillId="0" borderId="129" xfId="0" applyNumberFormat="1" applyFont="1" applyBorder="1"/>
    <xf numFmtId="2" fontId="130" fillId="0" borderId="130" xfId="0" applyNumberFormat="1" applyFont="1" applyBorder="1"/>
    <xf numFmtId="2" fontId="131" fillId="0" borderId="131" xfId="0" applyNumberFormat="1" applyFont="1" applyBorder="1"/>
    <xf numFmtId="2" fontId="132" fillId="0" borderId="132" xfId="0" applyNumberFormat="1" applyFont="1" applyBorder="1"/>
    <xf numFmtId="2" fontId="133" fillId="0" borderId="133" xfId="0" applyNumberFormat="1" applyFont="1" applyBorder="1"/>
    <xf numFmtId="2" fontId="134" fillId="0" borderId="134" xfId="0" applyNumberFormat="1" applyFont="1" applyBorder="1"/>
    <xf numFmtId="2" fontId="135" fillId="0" borderId="135" xfId="0" applyNumberFormat="1" applyFont="1" applyBorder="1"/>
    <xf numFmtId="2" fontId="136" fillId="0" borderId="136" xfId="0" applyNumberFormat="1" applyFont="1" applyBorder="1"/>
    <xf numFmtId="2" fontId="137" fillId="0" borderId="137" xfId="0" applyNumberFormat="1" applyFont="1" applyBorder="1"/>
    <xf numFmtId="2" fontId="138" fillId="0" borderId="138" xfId="0" applyNumberFormat="1" applyFont="1" applyBorder="1"/>
    <xf numFmtId="2" fontId="139" fillId="0" borderId="139" xfId="0" applyNumberFormat="1" applyFont="1" applyBorder="1"/>
    <xf numFmtId="2" fontId="140" fillId="0" borderId="140" xfId="0" applyNumberFormat="1" applyFont="1" applyBorder="1"/>
    <xf numFmtId="2" fontId="141" fillId="0" borderId="141" xfId="0" applyNumberFormat="1" applyFont="1" applyBorder="1"/>
    <xf numFmtId="2" fontId="142" fillId="0" borderId="142" xfId="0" applyNumberFormat="1" applyFont="1" applyBorder="1"/>
    <xf numFmtId="2" fontId="143" fillId="0" borderId="143" xfId="0" applyNumberFormat="1" applyFont="1" applyBorder="1"/>
    <xf numFmtId="2" fontId="144" fillId="0" borderId="144" xfId="0" applyNumberFormat="1" applyFont="1" applyBorder="1"/>
    <xf numFmtId="2" fontId="145" fillId="0" borderId="145" xfId="0" applyNumberFormat="1" applyFont="1" applyBorder="1"/>
    <xf numFmtId="2" fontId="146" fillId="0" borderId="146" xfId="0" applyNumberFormat="1" applyFont="1" applyBorder="1"/>
    <xf numFmtId="2" fontId="147" fillId="0" borderId="147" xfId="0" applyNumberFormat="1" applyFont="1" applyBorder="1"/>
    <xf numFmtId="2" fontId="148" fillId="0" borderId="148" xfId="0" applyNumberFormat="1" applyFont="1" applyBorder="1"/>
    <xf numFmtId="2" fontId="149" fillId="0" borderId="149" xfId="0" applyNumberFormat="1" applyFont="1" applyBorder="1"/>
    <xf numFmtId="2" fontId="150" fillId="0" borderId="150" xfId="0" applyNumberFormat="1" applyFont="1" applyBorder="1"/>
    <xf numFmtId="2" fontId="151" fillId="0" borderId="151" xfId="0" applyNumberFormat="1" applyFont="1" applyBorder="1"/>
    <xf numFmtId="2" fontId="152" fillId="0" borderId="152" xfId="0" applyNumberFormat="1" applyFont="1" applyBorder="1"/>
    <xf numFmtId="2" fontId="153" fillId="0" borderId="153" xfId="0" applyNumberFormat="1" applyFont="1" applyBorder="1"/>
    <xf numFmtId="2" fontId="154" fillId="0" borderId="154" xfId="0" applyNumberFormat="1" applyFont="1" applyBorder="1"/>
    <xf numFmtId="2" fontId="155" fillId="0" borderId="155" xfId="0" applyNumberFormat="1" applyFont="1" applyBorder="1"/>
    <xf numFmtId="2" fontId="156" fillId="0" borderId="156" xfId="0" applyNumberFormat="1" applyFont="1" applyBorder="1"/>
    <xf numFmtId="2" fontId="157" fillId="0" borderId="157" xfId="0" applyNumberFormat="1" applyFont="1" applyBorder="1"/>
    <xf numFmtId="2" fontId="158" fillId="0" borderId="158" xfId="0" applyNumberFormat="1" applyFont="1" applyBorder="1"/>
    <xf numFmtId="2" fontId="159" fillId="0" borderId="159" xfId="0" applyNumberFormat="1" applyFont="1" applyBorder="1"/>
    <xf numFmtId="2" fontId="160" fillId="0" borderId="160" xfId="0" applyNumberFormat="1" applyFont="1" applyBorder="1"/>
    <xf numFmtId="2" fontId="161" fillId="0" borderId="161" xfId="0" applyNumberFormat="1" applyFont="1" applyBorder="1"/>
    <xf numFmtId="2" fontId="162" fillId="0" borderId="162" xfId="0" applyNumberFormat="1" applyFont="1" applyBorder="1"/>
    <xf numFmtId="2" fontId="163" fillId="0" borderId="163" xfId="0" applyNumberFormat="1" applyFont="1" applyBorder="1"/>
    <xf numFmtId="2" fontId="164" fillId="0" borderId="164" xfId="0" applyNumberFormat="1" applyFont="1" applyBorder="1"/>
    <xf numFmtId="2" fontId="165" fillId="0" borderId="165" xfId="0" applyNumberFormat="1" applyFont="1" applyBorder="1"/>
    <xf numFmtId="2" fontId="166" fillId="0" borderId="166" xfId="0" applyNumberFormat="1" applyFont="1" applyBorder="1"/>
    <xf numFmtId="2" fontId="167" fillId="0" borderId="167" xfId="0" applyNumberFormat="1" applyFont="1" applyBorder="1"/>
    <xf numFmtId="2" fontId="168" fillId="0" borderId="168" xfId="0" applyNumberFormat="1" applyFont="1" applyBorder="1"/>
    <xf numFmtId="2" fontId="169" fillId="0" borderId="169" xfId="0" applyNumberFormat="1" applyFont="1" applyBorder="1"/>
    <xf numFmtId="2" fontId="170" fillId="0" borderId="170" xfId="0" applyNumberFormat="1" applyFont="1" applyBorder="1"/>
    <xf numFmtId="2" fontId="171" fillId="0" borderId="171" xfId="0" applyNumberFormat="1" applyFont="1" applyBorder="1"/>
    <xf numFmtId="2" fontId="172" fillId="0" borderId="172" xfId="0" applyNumberFormat="1" applyFont="1" applyBorder="1"/>
    <xf numFmtId="2" fontId="173" fillId="0" borderId="173" xfId="0" applyNumberFormat="1" applyFont="1" applyBorder="1"/>
    <xf numFmtId="2" fontId="174" fillId="0" borderId="174" xfId="0" applyNumberFormat="1" applyFont="1" applyBorder="1"/>
    <xf numFmtId="2" fontId="175" fillId="0" borderId="175" xfId="0" applyNumberFormat="1" applyFont="1" applyBorder="1"/>
    <xf numFmtId="2" fontId="176" fillId="0" borderId="176" xfId="0" applyNumberFormat="1" applyFont="1" applyBorder="1"/>
    <xf numFmtId="2" fontId="177" fillId="0" borderId="177" xfId="0" applyNumberFormat="1" applyFont="1" applyBorder="1"/>
    <xf numFmtId="2" fontId="178" fillId="0" borderId="178" xfId="0" applyNumberFormat="1" applyFont="1" applyBorder="1"/>
    <xf numFmtId="2" fontId="179" fillId="0" borderId="179" xfId="0" applyNumberFormat="1" applyFont="1" applyBorder="1"/>
    <xf numFmtId="2" fontId="180" fillId="0" borderId="180" xfId="0" applyNumberFormat="1" applyFont="1" applyBorder="1"/>
    <xf numFmtId="2" fontId="181" fillId="0" borderId="181" xfId="0" applyNumberFormat="1" applyFont="1" applyBorder="1"/>
    <xf numFmtId="2" fontId="182" fillId="0" borderId="182" xfId="0" applyNumberFormat="1" applyFont="1" applyBorder="1"/>
    <xf numFmtId="2" fontId="183" fillId="0" borderId="183" xfId="0" applyNumberFormat="1" applyFont="1" applyBorder="1"/>
    <xf numFmtId="2" fontId="184" fillId="0" borderId="184" xfId="0" applyNumberFormat="1" applyFont="1" applyBorder="1"/>
    <xf numFmtId="2" fontId="185" fillId="0" borderId="185" xfId="0" applyNumberFormat="1" applyFont="1" applyBorder="1"/>
    <xf numFmtId="2" fontId="186" fillId="0" borderId="186" xfId="0" applyNumberFormat="1" applyFont="1" applyBorder="1"/>
    <xf numFmtId="2" fontId="187" fillId="0" borderId="187" xfId="0" applyNumberFormat="1" applyFont="1" applyBorder="1"/>
    <xf numFmtId="2" fontId="188" fillId="0" borderId="188" xfId="0" applyNumberFormat="1" applyFont="1" applyBorder="1"/>
    <xf numFmtId="2" fontId="189" fillId="0" borderId="189" xfId="0" applyNumberFormat="1" applyFont="1" applyBorder="1"/>
    <xf numFmtId="2" fontId="190" fillId="0" borderId="190" xfId="0" applyNumberFormat="1" applyFont="1" applyBorder="1"/>
    <xf numFmtId="2" fontId="191" fillId="0" borderId="191" xfId="0" applyNumberFormat="1" applyFont="1" applyBorder="1"/>
    <xf numFmtId="2" fontId="192" fillId="0" borderId="192" xfId="0" applyNumberFormat="1" applyFont="1" applyBorder="1"/>
    <xf numFmtId="2" fontId="193" fillId="0" borderId="193" xfId="0" applyNumberFormat="1" applyFont="1" applyBorder="1"/>
    <xf numFmtId="2" fontId="194" fillId="0" borderId="194" xfId="0" applyNumberFormat="1" applyFont="1" applyBorder="1"/>
    <xf numFmtId="2" fontId="195" fillId="0" borderId="195" xfId="0" applyNumberFormat="1" applyFont="1" applyBorder="1"/>
    <xf numFmtId="2" fontId="196" fillId="0" borderId="196" xfId="0" applyNumberFormat="1" applyFont="1" applyBorder="1"/>
    <xf numFmtId="2" fontId="197" fillId="0" borderId="197" xfId="0" applyNumberFormat="1" applyFont="1" applyBorder="1"/>
    <xf numFmtId="2" fontId="198" fillId="0" borderId="198" xfId="0" applyNumberFormat="1" applyFont="1" applyBorder="1"/>
    <xf numFmtId="2" fontId="199" fillId="0" borderId="199" xfId="0" applyNumberFormat="1" applyFont="1" applyBorder="1"/>
    <xf numFmtId="2" fontId="200" fillId="0" borderId="200" xfId="0" applyNumberFormat="1" applyFont="1" applyBorder="1"/>
    <xf numFmtId="2" fontId="201" fillId="0" borderId="201" xfId="0" applyNumberFormat="1" applyFont="1" applyBorder="1"/>
    <xf numFmtId="2" fontId="202" fillId="0" borderId="202" xfId="0" applyNumberFormat="1" applyFont="1" applyBorder="1"/>
    <xf numFmtId="2" fontId="203" fillId="0" borderId="203" xfId="0" applyNumberFormat="1" applyFont="1" applyBorder="1"/>
    <xf numFmtId="2" fontId="204" fillId="0" borderId="204" xfId="0" applyNumberFormat="1" applyFont="1" applyBorder="1"/>
    <xf numFmtId="2" fontId="205" fillId="0" borderId="205" xfId="0" applyNumberFormat="1" applyFont="1" applyBorder="1"/>
    <xf numFmtId="2" fontId="206" fillId="0" borderId="206" xfId="0" applyNumberFormat="1" applyFont="1" applyBorder="1"/>
    <xf numFmtId="2" fontId="207" fillId="0" borderId="207" xfId="0" applyNumberFormat="1" applyFont="1" applyBorder="1"/>
    <xf numFmtId="2" fontId="208" fillId="0" borderId="208" xfId="0" applyNumberFormat="1" applyFont="1" applyBorder="1"/>
    <xf numFmtId="2" fontId="209" fillId="0" borderId="209" xfId="0" applyNumberFormat="1" applyFont="1" applyBorder="1"/>
    <xf numFmtId="2" fontId="210" fillId="0" borderId="210" xfId="0" applyNumberFormat="1" applyFont="1" applyBorder="1"/>
    <xf numFmtId="2" fontId="211" fillId="0" borderId="211" xfId="0" applyNumberFormat="1" applyFont="1" applyBorder="1"/>
    <xf numFmtId="2" fontId="212" fillId="0" borderId="212" xfId="0" applyNumberFormat="1" applyFont="1" applyBorder="1"/>
    <xf numFmtId="2" fontId="213" fillId="0" borderId="213" xfId="0" applyNumberFormat="1" applyFont="1" applyBorder="1"/>
    <xf numFmtId="2" fontId="214" fillId="0" borderId="214" xfId="0" applyNumberFormat="1" applyFont="1" applyBorder="1"/>
    <xf numFmtId="2" fontId="215" fillId="0" borderId="215" xfId="0" applyNumberFormat="1" applyFont="1" applyBorder="1"/>
    <xf numFmtId="2" fontId="216" fillId="0" borderId="216" xfId="0" applyNumberFormat="1" applyFont="1" applyBorder="1"/>
    <xf numFmtId="2" fontId="217" fillId="0" borderId="217" xfId="0" applyNumberFormat="1" applyFont="1" applyBorder="1"/>
    <xf numFmtId="2" fontId="218" fillId="0" borderId="218" xfId="0" applyNumberFormat="1" applyFont="1" applyBorder="1"/>
    <xf numFmtId="2" fontId="219" fillId="0" borderId="219" xfId="0" applyNumberFormat="1" applyFont="1" applyBorder="1"/>
    <xf numFmtId="2" fontId="220" fillId="0" borderId="220" xfId="0" applyNumberFormat="1" applyFont="1" applyBorder="1"/>
    <xf numFmtId="2" fontId="221" fillId="0" borderId="221" xfId="0" applyNumberFormat="1" applyFont="1" applyBorder="1"/>
    <xf numFmtId="2" fontId="222" fillId="0" borderId="222" xfId="0" applyNumberFormat="1" applyFont="1" applyBorder="1"/>
    <xf numFmtId="2" fontId="223" fillId="0" borderId="223" xfId="0" applyNumberFormat="1" applyFont="1" applyBorder="1"/>
    <xf numFmtId="2" fontId="224" fillId="0" borderId="224" xfId="0" applyNumberFormat="1" applyFont="1" applyBorder="1"/>
    <xf numFmtId="2" fontId="225" fillId="0" borderId="225" xfId="0" applyNumberFormat="1" applyFont="1" applyBorder="1"/>
    <xf numFmtId="2" fontId="226" fillId="0" borderId="226" xfId="0" applyNumberFormat="1" applyFont="1" applyBorder="1"/>
    <xf numFmtId="2" fontId="227" fillId="0" borderId="227" xfId="0" applyNumberFormat="1" applyFont="1" applyBorder="1"/>
    <xf numFmtId="2" fontId="228" fillId="0" borderId="228" xfId="0" applyNumberFormat="1" applyFont="1" applyBorder="1"/>
    <xf numFmtId="2" fontId="229" fillId="0" borderId="229" xfId="0" applyNumberFormat="1" applyFont="1" applyBorder="1"/>
    <xf numFmtId="2" fontId="230" fillId="0" borderId="230" xfId="0" applyNumberFormat="1" applyFont="1" applyBorder="1"/>
    <xf numFmtId="2" fontId="231" fillId="0" borderId="231" xfId="0" applyNumberFormat="1" applyFont="1" applyBorder="1"/>
    <xf numFmtId="2" fontId="232" fillId="0" borderId="232" xfId="0" applyNumberFormat="1" applyFont="1" applyBorder="1"/>
    <xf numFmtId="2" fontId="233" fillId="0" borderId="233" xfId="0" applyNumberFormat="1" applyFont="1" applyBorder="1"/>
    <xf numFmtId="2" fontId="234" fillId="0" borderId="234" xfId="0" applyNumberFormat="1" applyFont="1" applyBorder="1"/>
    <xf numFmtId="2" fontId="235" fillId="0" borderId="235" xfId="0" applyNumberFormat="1" applyFont="1" applyBorder="1"/>
    <xf numFmtId="2" fontId="236" fillId="0" borderId="236" xfId="0" applyNumberFormat="1" applyFont="1" applyBorder="1"/>
    <xf numFmtId="2" fontId="237" fillId="0" borderId="237" xfId="0" applyNumberFormat="1" applyFont="1" applyBorder="1"/>
    <xf numFmtId="2" fontId="238" fillId="0" borderId="238" xfId="0" applyNumberFormat="1" applyFont="1" applyBorder="1"/>
    <xf numFmtId="2" fontId="239" fillId="0" borderId="239" xfId="0" applyNumberFormat="1" applyFont="1" applyBorder="1"/>
    <xf numFmtId="2" fontId="240" fillId="0" borderId="240" xfId="0" applyNumberFormat="1" applyFont="1" applyBorder="1"/>
    <xf numFmtId="2" fontId="241" fillId="0" borderId="241" xfId="0" applyNumberFormat="1" applyFont="1" applyBorder="1"/>
    <xf numFmtId="2" fontId="242" fillId="0" borderId="242" xfId="0" applyNumberFormat="1" applyFont="1" applyBorder="1"/>
    <xf numFmtId="2" fontId="243" fillId="0" borderId="243" xfId="0" applyNumberFormat="1" applyFont="1" applyBorder="1"/>
    <xf numFmtId="2" fontId="244" fillId="0" borderId="244" xfId="0" applyNumberFormat="1" applyFont="1" applyBorder="1"/>
    <xf numFmtId="2" fontId="245" fillId="0" borderId="245" xfId="0" applyNumberFormat="1" applyFont="1" applyBorder="1"/>
    <xf numFmtId="2" fontId="246" fillId="0" borderId="246" xfId="0" applyNumberFormat="1" applyFont="1" applyBorder="1"/>
    <xf numFmtId="2" fontId="247" fillId="0" borderId="247" xfId="0" applyNumberFormat="1" applyFont="1" applyBorder="1"/>
    <xf numFmtId="2" fontId="248" fillId="0" borderId="248" xfId="0" applyNumberFormat="1" applyFont="1" applyBorder="1"/>
    <xf numFmtId="2" fontId="249" fillId="0" borderId="249" xfId="0" applyNumberFormat="1" applyFont="1" applyBorder="1"/>
    <xf numFmtId="2" fontId="250" fillId="0" borderId="250" xfId="0" applyNumberFormat="1" applyFont="1" applyBorder="1"/>
    <xf numFmtId="2" fontId="251" fillId="0" borderId="251" xfId="0" applyNumberFormat="1" applyFont="1" applyBorder="1"/>
    <xf numFmtId="2" fontId="252" fillId="0" borderId="252" xfId="0" applyNumberFormat="1" applyFont="1" applyBorder="1"/>
    <xf numFmtId="2" fontId="253" fillId="0" borderId="253" xfId="0" applyNumberFormat="1" applyFont="1" applyBorder="1"/>
    <xf numFmtId="2" fontId="254" fillId="0" borderId="254" xfId="0" applyNumberFormat="1" applyFont="1" applyBorder="1"/>
    <xf numFmtId="2" fontId="255" fillId="0" borderId="255" xfId="0" applyNumberFormat="1" applyFont="1" applyBorder="1"/>
    <xf numFmtId="2" fontId="256" fillId="0" borderId="256" xfId="0" applyNumberFormat="1" applyFont="1" applyBorder="1"/>
    <xf numFmtId="2" fontId="257" fillId="0" borderId="257" xfId="0" applyNumberFormat="1" applyFont="1" applyBorder="1"/>
    <xf numFmtId="2" fontId="258" fillId="0" borderId="258" xfId="0" applyNumberFormat="1" applyFont="1" applyBorder="1"/>
    <xf numFmtId="2" fontId="259" fillId="0" borderId="259" xfId="0" applyNumberFormat="1" applyFont="1" applyBorder="1"/>
    <xf numFmtId="2" fontId="260" fillId="0" borderId="260" xfId="0" applyNumberFormat="1" applyFont="1" applyBorder="1"/>
    <xf numFmtId="2" fontId="261" fillId="0" borderId="261" xfId="0" applyNumberFormat="1" applyFont="1" applyBorder="1"/>
    <xf numFmtId="2" fontId="262" fillId="0" borderId="262" xfId="0" applyNumberFormat="1" applyFont="1" applyBorder="1"/>
    <xf numFmtId="2" fontId="263" fillId="0" borderId="263" xfId="0" applyNumberFormat="1" applyFont="1" applyBorder="1"/>
    <xf numFmtId="2" fontId="264" fillId="0" borderId="264" xfId="0" applyNumberFormat="1" applyFont="1" applyBorder="1"/>
    <xf numFmtId="2" fontId="265" fillId="0" borderId="265" xfId="0" applyNumberFormat="1" applyFont="1" applyBorder="1"/>
    <xf numFmtId="2" fontId="266" fillId="0" borderId="266" xfId="0" applyNumberFormat="1" applyFont="1" applyBorder="1"/>
    <xf numFmtId="2" fontId="267" fillId="0" borderId="267" xfId="0" applyNumberFormat="1" applyFont="1" applyBorder="1"/>
    <xf numFmtId="2" fontId="268" fillId="0" borderId="268" xfId="0" applyNumberFormat="1" applyFont="1" applyBorder="1"/>
    <xf numFmtId="2" fontId="269" fillId="0" borderId="269" xfId="0" applyNumberFormat="1" applyFont="1" applyBorder="1"/>
    <xf numFmtId="2" fontId="270" fillId="0" borderId="270" xfId="0" applyNumberFormat="1" applyFont="1" applyBorder="1"/>
    <xf numFmtId="2" fontId="271" fillId="0" borderId="271" xfId="0" applyNumberFormat="1" applyFont="1" applyBorder="1"/>
    <xf numFmtId="2" fontId="272" fillId="0" borderId="272" xfId="0" applyNumberFormat="1" applyFont="1" applyBorder="1"/>
    <xf numFmtId="2" fontId="273" fillId="0" borderId="273" xfId="0" applyNumberFormat="1" applyFont="1" applyBorder="1"/>
    <xf numFmtId="2" fontId="274" fillId="0" borderId="274" xfId="0" applyNumberFormat="1" applyFont="1" applyBorder="1"/>
    <xf numFmtId="2" fontId="275" fillId="0" borderId="275" xfId="0" applyNumberFormat="1" applyFont="1" applyBorder="1"/>
    <xf numFmtId="2" fontId="276" fillId="0" borderId="276" xfId="0" applyNumberFormat="1" applyFont="1" applyBorder="1"/>
    <xf numFmtId="2" fontId="277" fillId="0" borderId="277" xfId="0" applyNumberFormat="1" applyFont="1" applyBorder="1"/>
    <xf numFmtId="2" fontId="278" fillId="0" borderId="278" xfId="0" applyNumberFormat="1" applyFont="1" applyBorder="1"/>
    <xf numFmtId="2" fontId="279" fillId="0" borderId="279" xfId="0" applyNumberFormat="1" applyFont="1" applyBorder="1"/>
    <xf numFmtId="2" fontId="280" fillId="0" borderId="280" xfId="0" applyNumberFormat="1" applyFont="1" applyBorder="1"/>
    <xf numFmtId="2" fontId="281" fillId="0" borderId="281" xfId="0" applyNumberFormat="1" applyFont="1" applyBorder="1"/>
    <xf numFmtId="2" fontId="282" fillId="0" borderId="282" xfId="0" applyNumberFormat="1" applyFont="1" applyBorder="1"/>
    <xf numFmtId="2" fontId="283" fillId="0" borderId="283" xfId="0" applyNumberFormat="1" applyFont="1" applyBorder="1"/>
    <xf numFmtId="2" fontId="284" fillId="0" borderId="284" xfId="0" applyNumberFormat="1" applyFont="1" applyBorder="1"/>
    <xf numFmtId="2" fontId="285" fillId="0" borderId="285" xfId="0" applyNumberFormat="1" applyFont="1" applyBorder="1"/>
    <xf numFmtId="2" fontId="286" fillId="0" borderId="286" xfId="0" applyNumberFormat="1" applyFont="1" applyBorder="1"/>
    <xf numFmtId="2" fontId="287" fillId="0" borderId="287" xfId="0" applyNumberFormat="1" applyFont="1" applyBorder="1"/>
    <xf numFmtId="2" fontId="288" fillId="0" borderId="288" xfId="0" applyNumberFormat="1" applyFont="1" applyBorder="1"/>
    <xf numFmtId="2" fontId="289" fillId="0" borderId="289" xfId="0" applyNumberFormat="1" applyFont="1" applyBorder="1"/>
    <xf numFmtId="2" fontId="290" fillId="0" borderId="290" xfId="0" applyNumberFormat="1" applyFont="1" applyBorder="1"/>
    <xf numFmtId="2" fontId="291" fillId="0" borderId="291" xfId="0" applyNumberFormat="1" applyFont="1" applyBorder="1"/>
    <xf numFmtId="2" fontId="292" fillId="0" borderId="292" xfId="0" applyNumberFormat="1" applyFont="1" applyBorder="1"/>
    <xf numFmtId="2" fontId="293" fillId="0" borderId="293" xfId="0" applyNumberFormat="1" applyFont="1" applyBorder="1"/>
    <xf numFmtId="2" fontId="294" fillId="0" borderId="294" xfId="0" applyNumberFormat="1" applyFont="1" applyBorder="1"/>
    <xf numFmtId="2" fontId="295" fillId="0" borderId="295" xfId="0" applyNumberFormat="1" applyFont="1" applyBorder="1"/>
    <xf numFmtId="2" fontId="296" fillId="0" borderId="296" xfId="0" applyNumberFormat="1" applyFont="1" applyBorder="1"/>
    <xf numFmtId="2" fontId="297" fillId="0" borderId="297" xfId="0" applyNumberFormat="1" applyFont="1" applyBorder="1"/>
    <xf numFmtId="2" fontId="298" fillId="0" borderId="298" xfId="0" applyNumberFormat="1" applyFont="1" applyBorder="1"/>
    <xf numFmtId="2" fontId="299" fillId="0" borderId="299" xfId="0" applyNumberFormat="1" applyFont="1" applyBorder="1"/>
    <xf numFmtId="2" fontId="300" fillId="0" borderId="300" xfId="0" applyNumberFormat="1" applyFont="1" applyBorder="1"/>
    <xf numFmtId="2" fontId="301" fillId="0" borderId="301" xfId="0" applyNumberFormat="1" applyFont="1" applyBorder="1"/>
    <xf numFmtId="2" fontId="302" fillId="0" borderId="302" xfId="0" applyNumberFormat="1" applyFont="1" applyBorder="1"/>
    <xf numFmtId="2" fontId="303" fillId="0" borderId="303" xfId="0" applyNumberFormat="1" applyFont="1" applyBorder="1"/>
    <xf numFmtId="2" fontId="304" fillId="0" borderId="304" xfId="0" applyNumberFormat="1" applyFont="1" applyBorder="1"/>
    <xf numFmtId="2" fontId="305" fillId="0" borderId="305" xfId="0" applyNumberFormat="1" applyFont="1" applyBorder="1"/>
    <xf numFmtId="2" fontId="306" fillId="0" borderId="306" xfId="0" applyNumberFormat="1" applyFont="1" applyBorder="1"/>
    <xf numFmtId="2" fontId="307" fillId="0" borderId="307" xfId="0" applyNumberFormat="1" applyFont="1" applyBorder="1"/>
    <xf numFmtId="2" fontId="308" fillId="0" borderId="308" xfId="0" applyNumberFormat="1" applyFont="1" applyBorder="1"/>
    <xf numFmtId="2" fontId="309" fillId="0" borderId="309" xfId="0" applyNumberFormat="1" applyFont="1" applyBorder="1"/>
    <xf numFmtId="2" fontId="310" fillId="0" borderId="310" xfId="0" applyNumberFormat="1" applyFont="1" applyBorder="1"/>
    <xf numFmtId="2" fontId="311" fillId="0" borderId="311" xfId="0" applyNumberFormat="1" applyFont="1" applyBorder="1"/>
    <xf numFmtId="2" fontId="312" fillId="0" borderId="312" xfId="0" applyNumberFormat="1" applyFont="1" applyBorder="1"/>
    <xf numFmtId="2" fontId="313" fillId="0" borderId="313" xfId="0" applyNumberFormat="1" applyFont="1" applyBorder="1"/>
    <xf numFmtId="2" fontId="314" fillId="0" borderId="314" xfId="0" applyNumberFormat="1" applyFont="1" applyBorder="1"/>
    <xf numFmtId="2" fontId="315" fillId="0" borderId="315" xfId="0" applyNumberFormat="1" applyFont="1" applyBorder="1"/>
    <xf numFmtId="2" fontId="316" fillId="0" borderId="316" xfId="0" applyNumberFormat="1" applyFont="1" applyBorder="1"/>
    <xf numFmtId="2" fontId="317" fillId="0" borderId="317" xfId="0" applyNumberFormat="1" applyFont="1" applyBorder="1"/>
    <xf numFmtId="2" fontId="318" fillId="0" borderId="318" xfId="0" applyNumberFormat="1" applyFont="1" applyBorder="1"/>
    <xf numFmtId="2" fontId="319" fillId="0" borderId="319" xfId="0" applyNumberFormat="1" applyFont="1" applyBorder="1"/>
    <xf numFmtId="2" fontId="320" fillId="0" borderId="320" xfId="0" applyNumberFormat="1" applyFont="1" applyBorder="1"/>
    <xf numFmtId="2" fontId="321" fillId="0" borderId="321" xfId="0" applyNumberFormat="1" applyFont="1" applyBorder="1"/>
    <xf numFmtId="2" fontId="322" fillId="0" borderId="322" xfId="0" applyNumberFormat="1" applyFont="1" applyBorder="1"/>
    <xf numFmtId="2" fontId="323" fillId="0" borderId="323" xfId="0" applyNumberFormat="1" applyFont="1" applyBorder="1"/>
    <xf numFmtId="2" fontId="324" fillId="0" borderId="324" xfId="0" applyNumberFormat="1" applyFont="1" applyBorder="1"/>
    <xf numFmtId="2" fontId="325" fillId="0" borderId="325" xfId="0" applyNumberFormat="1" applyFont="1" applyBorder="1"/>
    <xf numFmtId="0" fontId="326" fillId="0" borderId="3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29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32.5" customWidth="1"/>
    <col min="4" max="4" width="22.83203125" customWidth="1"/>
  </cols>
  <sheetData>
    <row r="1" spans="1:7" x14ac:dyDescent="0.2">
      <c r="A1" t="str">
        <f>E1a!A1</f>
        <v>REGRESSOR</v>
      </c>
      <c r="B1" t="str">
        <f>E1a!B1</f>
        <v>COEFFICIENT</v>
      </c>
      <c r="D1" t="str">
        <f>E1a_orig!A1</f>
        <v>REGRESSOR</v>
      </c>
      <c r="E1" t="str">
        <f>E1a_orig!B1</f>
        <v>COEFFICIENT</v>
      </c>
      <c r="G1" t="s">
        <v>110</v>
      </c>
    </row>
    <row r="2" spans="1:7" x14ac:dyDescent="0.2">
      <c r="A2" t="str">
        <f>E1a!A2</f>
        <v>demMaleFlag</v>
      </c>
      <c r="B2" s="1">
        <f>E1a!B2</f>
        <v>-1.3450267340907237E-2</v>
      </c>
      <c r="C2" s="1"/>
      <c r="D2" s="1" t="str">
        <f>E1a_orig!A2</f>
        <v>Dgn</v>
      </c>
      <c r="E2" s="1">
        <f>E1a_orig!B2</f>
        <v>-1.3450267340906949E-2</v>
      </c>
      <c r="G2" s="1">
        <f>B2-E2</f>
        <v>-2.8796409701214998E-16</v>
      </c>
    </row>
    <row r="3" spans="1:7" x14ac:dyDescent="0.2">
      <c r="A3" t="str">
        <f>E1a!A3</f>
        <v>demAge</v>
      </c>
      <c r="B3" s="1">
        <f>E1a!B3</f>
        <v>-1.1878095565684739</v>
      </c>
      <c r="C3" s="1"/>
      <c r="D3" s="1" t="str">
        <f>E1a_orig!A3</f>
        <v>Dag</v>
      </c>
      <c r="E3" s="1">
        <f>E1a_orig!B3</f>
        <v>-1.1878095565684612</v>
      </c>
      <c r="G3" s="1">
        <f t="shared" ref="G3:G29" si="0">B3-E3</f>
        <v>-1.2656542480726785E-14</v>
      </c>
    </row>
    <row r="4" spans="1:7" x14ac:dyDescent="0.2">
      <c r="A4" t="str">
        <f>E1a!A4</f>
        <v>demAgeSq</v>
      </c>
      <c r="B4" s="1">
        <f>E1a!B4</f>
        <v>2.4709215410986664E-2</v>
      </c>
      <c r="C4" s="1"/>
      <c r="D4" s="1" t="str">
        <f>E1a_orig!A4</f>
        <v>Dag_sq</v>
      </c>
      <c r="E4" s="1">
        <f>E1a_orig!B4</f>
        <v>2.4709215410986383E-2</v>
      </c>
      <c r="G4" s="1">
        <f t="shared" si="0"/>
        <v>2.8102520310824275E-16</v>
      </c>
    </row>
    <row r="5" spans="1:7" x14ac:dyDescent="0.2">
      <c r="A5" t="str">
        <f>E1a!A5</f>
        <v>eduSampleFlagL1</v>
      </c>
      <c r="B5" s="1">
        <f>E1a!B5</f>
        <v>0.32099295708930331</v>
      </c>
      <c r="C5" s="1"/>
      <c r="D5" s="1" t="str">
        <f>E1a_orig!A5</f>
        <v>Ded_L1</v>
      </c>
      <c r="E5" s="1">
        <f>E1a_orig!B5</f>
        <v>0.32099295708930392</v>
      </c>
      <c r="G5" s="1">
        <f t="shared" si="0"/>
        <v>-6.106226635438361E-16</v>
      </c>
    </row>
    <row r="6" spans="1:7" x14ac:dyDescent="0.2">
      <c r="A6" t="str">
        <f>E1a!A6</f>
        <v>eduHighestParentC3MediumL1</v>
      </c>
      <c r="B6" s="1">
        <f>E1a!B6</f>
        <v>-0.26246412717191964</v>
      </c>
      <c r="C6" s="1"/>
      <c r="D6" s="1" t="str">
        <f>E1a_orig!A6</f>
        <v>Dehmf_c3_Medium_L1</v>
      </c>
      <c r="E6" s="1">
        <f>E1a_orig!B6</f>
        <v>-0.26246412717191858</v>
      </c>
      <c r="G6" s="1">
        <f t="shared" si="0"/>
        <v>-1.0547118733938987E-15</v>
      </c>
    </row>
    <row r="7" spans="1:7" x14ac:dyDescent="0.2">
      <c r="A7" t="str">
        <f>E1a!A7</f>
        <v>eduHighestParentC3LowL1</v>
      </c>
      <c r="B7" s="1">
        <f>E1a!B7</f>
        <v>-0.42167057306731043</v>
      </c>
      <c r="C7" s="1"/>
      <c r="D7" s="1" t="str">
        <f>E1a_orig!A7</f>
        <v>Dehmf_c3_Low_L1</v>
      </c>
      <c r="E7" s="1">
        <f>E1a_orig!B7</f>
        <v>-0.42167057306730849</v>
      </c>
      <c r="G7" s="1">
        <f t="shared" si="0"/>
        <v>-1.9428902930940239E-15</v>
      </c>
    </row>
    <row r="8" spans="1:7" x14ac:dyDescent="0.2">
      <c r="A8" t="str">
        <f>E1a!A8</f>
        <v>yHhQuintilesMonthC5Q2L1</v>
      </c>
      <c r="B8" s="1">
        <f>E1a!B8</f>
        <v>-7.6391105404253729E-2</v>
      </c>
      <c r="C8" s="1"/>
      <c r="D8" s="1" t="str">
        <f>E1a_orig!A8</f>
        <v>Ydses_c5_Q2_L1</v>
      </c>
      <c r="E8" s="1">
        <f>E1a_orig!B8</f>
        <v>-7.6391105404252244E-2</v>
      </c>
      <c r="G8" s="1">
        <f t="shared" si="0"/>
        <v>-1.4849232954361469E-15</v>
      </c>
    </row>
    <row r="9" spans="1:7" x14ac:dyDescent="0.2">
      <c r="A9" t="str">
        <f>E1a!A9</f>
        <v>yHhQuintilesMonthC5Q3L1</v>
      </c>
      <c r="B9" s="1">
        <f>E1a!B9</f>
        <v>-0.39833595279459977</v>
      </c>
      <c r="C9" s="1"/>
      <c r="D9" s="1" t="str">
        <f>E1a_orig!A9</f>
        <v>Ydses_c5_Q3_L1</v>
      </c>
      <c r="E9" s="1">
        <f>E1a_orig!B9</f>
        <v>-0.39833595279459455</v>
      </c>
      <c r="G9" s="1">
        <f t="shared" si="0"/>
        <v>-5.2180482157382357E-15</v>
      </c>
    </row>
    <row r="10" spans="1:7" x14ac:dyDescent="0.2">
      <c r="A10" t="str">
        <f>E1a!A10</f>
        <v>yHhQuintilesMonthC5Q4L1</v>
      </c>
      <c r="B10" s="1">
        <f>E1a!B10</f>
        <v>-0.34339504313305025</v>
      </c>
      <c r="C10" s="1"/>
      <c r="D10" s="1" t="str">
        <f>E1a_orig!A10</f>
        <v>Ydses_c5_Q4_L1</v>
      </c>
      <c r="E10" s="1">
        <f>E1a_orig!B10</f>
        <v>-0.34339504313304481</v>
      </c>
      <c r="G10" s="1">
        <f t="shared" si="0"/>
        <v>-5.440092820663267E-15</v>
      </c>
    </row>
    <row r="11" spans="1:7" x14ac:dyDescent="0.2">
      <c r="A11" t="str">
        <f>E1a!A11</f>
        <v>yHhQuintilesMonthC5Q5L1</v>
      </c>
      <c r="B11" s="1">
        <f>E1a!B11</f>
        <v>-0.41007982045858427</v>
      </c>
      <c r="C11" s="1"/>
      <c r="D11" s="1" t="str">
        <f>E1a_orig!A11</f>
        <v>Ydses_c5_Q5_L1</v>
      </c>
      <c r="E11" s="1">
        <f>E1a_orig!B11</f>
        <v>-0.41007982045857866</v>
      </c>
      <c r="G11" s="1">
        <f t="shared" si="0"/>
        <v>-5.6066262743570405E-15</v>
      </c>
    </row>
    <row r="12" spans="1:7" x14ac:dyDescent="0.2">
      <c r="A12" t="str">
        <f>E1a!A12</f>
        <v>demRgnUKC</v>
      </c>
      <c r="B12" s="1">
        <f>E1a!B12</f>
        <v>7.0957692167224543E-2</v>
      </c>
      <c r="C12" s="1"/>
      <c r="D12" s="1" t="str">
        <f>E1a_orig!A12</f>
        <v>demRgnUKC</v>
      </c>
      <c r="E12" s="1">
        <f>E1a_orig!B12</f>
        <v>7.0957692167225209E-2</v>
      </c>
      <c r="G12" s="1">
        <f t="shared" si="0"/>
        <v>-6.6613381477509392E-16</v>
      </c>
    </row>
    <row r="13" spans="1:7" x14ac:dyDescent="0.2">
      <c r="A13" t="str">
        <f>E1a!A13</f>
        <v>demRgnUKD</v>
      </c>
      <c r="B13" s="1">
        <f>E1a!B13</f>
        <v>2.2964925219421933E-2</v>
      </c>
      <c r="C13" s="1"/>
      <c r="D13" s="1" t="str">
        <f>E1a_orig!A13</f>
        <v>demRgnUKD</v>
      </c>
      <c r="E13" s="1">
        <f>E1a_orig!B13</f>
        <v>2.2964925219422689E-2</v>
      </c>
      <c r="G13" s="1">
        <f t="shared" si="0"/>
        <v>-7.5633943552588789E-16</v>
      </c>
    </row>
    <row r="14" spans="1:7" x14ac:dyDescent="0.2">
      <c r="A14" t="str">
        <f>E1a!A14</f>
        <v>demRgnUKE</v>
      </c>
      <c r="B14" s="1">
        <f>E1a!B14</f>
        <v>3.7815327186964259E-2</v>
      </c>
      <c r="C14" s="1"/>
      <c r="D14" s="1" t="str">
        <f>E1a_orig!A14</f>
        <v>demRgnUKE</v>
      </c>
      <c r="E14" s="1">
        <f>E1a_orig!B14</f>
        <v>3.7815327186965099E-2</v>
      </c>
      <c r="G14" s="1">
        <f t="shared" si="0"/>
        <v>-8.3960616237277463E-16</v>
      </c>
    </row>
    <row r="15" spans="1:7" x14ac:dyDescent="0.2">
      <c r="A15" t="str">
        <f>E1a!A15</f>
        <v>demRgnUKF</v>
      </c>
      <c r="B15" s="1">
        <f>E1a!B15</f>
        <v>4.7063542139195752E-2</v>
      </c>
      <c r="C15" s="1"/>
      <c r="D15" s="1" t="str">
        <f>E1a_orig!A15</f>
        <v>demRgnUKF</v>
      </c>
      <c r="E15" s="1">
        <f>E1a_orig!B15</f>
        <v>4.7063542139196363E-2</v>
      </c>
      <c r="G15" s="1">
        <f t="shared" si="0"/>
        <v>-6.106226635438361E-16</v>
      </c>
    </row>
    <row r="16" spans="1:7" x14ac:dyDescent="0.2">
      <c r="A16" t="str">
        <f>E1a!A16</f>
        <v>demRgnUKG</v>
      </c>
      <c r="B16" s="1">
        <f>E1a!B16</f>
        <v>1.1086071904261903E-2</v>
      </c>
      <c r="C16" s="1"/>
      <c r="D16" s="1" t="str">
        <f>E1a_orig!A16</f>
        <v>demRgnUKG</v>
      </c>
      <c r="E16" s="1">
        <f>E1a_orig!B16</f>
        <v>1.1086071904263139E-2</v>
      </c>
      <c r="G16" s="1">
        <f t="shared" si="0"/>
        <v>-1.2368578383714635E-15</v>
      </c>
    </row>
    <row r="17" spans="1:7" x14ac:dyDescent="0.2">
      <c r="A17" t="str">
        <f>E1a!A17</f>
        <v>demRgnUKH</v>
      </c>
      <c r="B17" s="1">
        <f>E1a!B17</f>
        <v>1.802840838158894E-2</v>
      </c>
      <c r="C17" s="1"/>
      <c r="D17" s="1" t="str">
        <f>E1a_orig!A17</f>
        <v>demRgnUKH</v>
      </c>
      <c r="E17" s="1">
        <f>E1a_orig!B17</f>
        <v>1.8028408381589762E-2</v>
      </c>
      <c r="G17" s="1">
        <f t="shared" si="0"/>
        <v>-8.2225892761300656E-16</v>
      </c>
    </row>
    <row r="18" spans="1:7" x14ac:dyDescent="0.2">
      <c r="A18" t="str">
        <f>E1a!A18</f>
        <v>demRgnUKJ</v>
      </c>
      <c r="B18" s="1">
        <f>E1a!B18</f>
        <v>9.4493818897984791E-2</v>
      </c>
      <c r="C18" s="1"/>
      <c r="D18" s="1" t="str">
        <f>E1a_orig!A18</f>
        <v>demRgnUKJ</v>
      </c>
      <c r="E18" s="1">
        <f>E1a_orig!B18</f>
        <v>9.4493818897985415E-2</v>
      </c>
      <c r="G18" s="1">
        <f t="shared" si="0"/>
        <v>-6.2450045135165055E-16</v>
      </c>
    </row>
    <row r="19" spans="1:7" x14ac:dyDescent="0.2">
      <c r="A19" t="str">
        <f>E1a!A19</f>
        <v>demRgnUKK</v>
      </c>
      <c r="B19" s="1">
        <f>E1a!B19</f>
        <v>-5.3733639674482414E-2</v>
      </c>
      <c r="C19" s="1"/>
      <c r="D19" s="1" t="str">
        <f>E1a_orig!A19</f>
        <v>demRgnUKK</v>
      </c>
      <c r="E19" s="1">
        <f>E1a_orig!B19</f>
        <v>-5.3733639674481491E-2</v>
      </c>
      <c r="G19" s="1">
        <f t="shared" si="0"/>
        <v>-9.2287288921966137E-16</v>
      </c>
    </row>
    <row r="20" spans="1:7" x14ac:dyDescent="0.2">
      <c r="A20" t="str">
        <f>E1a!A20</f>
        <v>demRgnUKL</v>
      </c>
      <c r="B20" s="1">
        <f>E1a!B20</f>
        <v>9.7566311500470307E-2</v>
      </c>
      <c r="C20" s="1"/>
      <c r="D20" s="1" t="str">
        <f>E1a_orig!A20</f>
        <v>demRgnUKL</v>
      </c>
      <c r="E20" s="1">
        <f>E1a_orig!B20</f>
        <v>9.7566311500471098E-2</v>
      </c>
      <c r="G20" s="1">
        <f t="shared" si="0"/>
        <v>-7.9103390504542404E-16</v>
      </c>
    </row>
    <row r="21" spans="1:7" x14ac:dyDescent="0.2">
      <c r="A21" t="str">
        <f>E1a!A21</f>
        <v>demRgnUKM</v>
      </c>
      <c r="B21" s="1">
        <f>E1a!B21</f>
        <v>6.1570104949663584E-2</v>
      </c>
      <c r="C21" s="1"/>
      <c r="D21" s="1" t="str">
        <f>E1a_orig!A21</f>
        <v>demRgnUKM</v>
      </c>
      <c r="E21" s="1">
        <f>E1a_orig!B21</f>
        <v>6.157010494966457E-2</v>
      </c>
      <c r="G21" s="1">
        <f t="shared" si="0"/>
        <v>-9.8532293435482643E-16</v>
      </c>
    </row>
    <row r="22" spans="1:7" x14ac:dyDescent="0.2">
      <c r="A22" t="str">
        <f>E1a!A22</f>
        <v>demRgnUKN</v>
      </c>
      <c r="B22" s="1">
        <f>E1a!B22</f>
        <v>0.20146727253882282</v>
      </c>
      <c r="C22" s="1"/>
      <c r="D22" s="1" t="str">
        <f>E1a_orig!A22</f>
        <v>demRgnUKN</v>
      </c>
      <c r="E22" s="1">
        <f>E1a_orig!B22</f>
        <v>0.20146727253882354</v>
      </c>
      <c r="G22" s="1">
        <f t="shared" si="0"/>
        <v>-7.2164496600635175E-16</v>
      </c>
    </row>
    <row r="23" spans="1:7" x14ac:dyDescent="0.2">
      <c r="A23" t="str">
        <f>E1a!A23</f>
        <v>demYearTransformed</v>
      </c>
      <c r="B23" s="1">
        <f>E1a!B23</f>
        <v>-1.893252414199105E-2</v>
      </c>
      <c r="C23" s="1"/>
      <c r="D23" s="1" t="str">
        <f>E1a_orig!A23</f>
        <v>Year_transformed</v>
      </c>
      <c r="E23" s="1">
        <f>E1a_orig!B23</f>
        <v>-1.8932524141990922E-2</v>
      </c>
      <c r="G23" s="1">
        <f t="shared" si="0"/>
        <v>-1.2836953722228372E-16</v>
      </c>
    </row>
    <row r="24" spans="1:7" x14ac:dyDescent="0.2">
      <c r="A24" t="str">
        <f>E1a!A24</f>
        <v>demYear2020</v>
      </c>
      <c r="B24" s="1">
        <f>E1a!B24</f>
        <v>4.7513925165807384E-3</v>
      </c>
      <c r="C24" s="1"/>
      <c r="D24" s="1" t="str">
        <f>E1a_orig!A24</f>
        <v>Y2020</v>
      </c>
      <c r="E24" s="1">
        <f>E1a_orig!B24</f>
        <v>4.7513925165804617E-3</v>
      </c>
      <c r="G24" s="1">
        <f t="shared" si="0"/>
        <v>2.7668839441830073E-16</v>
      </c>
    </row>
    <row r="25" spans="1:7" x14ac:dyDescent="0.2">
      <c r="A25" t="str">
        <f>E1a!A25</f>
        <v>demYear2021</v>
      </c>
      <c r="B25" s="1">
        <f>E1a!B25</f>
        <v>0.11202391699030222</v>
      </c>
      <c r="C25" s="1"/>
      <c r="D25" s="1" t="str">
        <f>E1a_orig!A25</f>
        <v>Y2021</v>
      </c>
      <c r="E25" s="1">
        <f>E1a_orig!B25</f>
        <v>0.11202391699030145</v>
      </c>
      <c r="G25" s="1">
        <f t="shared" si="0"/>
        <v>7.6327832942979512E-16</v>
      </c>
    </row>
    <row r="26" spans="1:7" x14ac:dyDescent="0.2">
      <c r="A26" t="str">
        <f>E1a!A26</f>
        <v>demEthnC4Asian</v>
      </c>
      <c r="B26" s="1">
        <f>E1a!B26</f>
        <v>0.32813470648225168</v>
      </c>
      <c r="C26" s="1"/>
      <c r="D26" s="1" t="str">
        <f>E1a_orig!A26</f>
        <v>demEthnC4Asian</v>
      </c>
      <c r="E26" s="1">
        <f>E1a_orig!B26</f>
        <v>0.32813470648225124</v>
      </c>
      <c r="G26" s="1">
        <f t="shared" si="0"/>
        <v>4.4408920985006262E-16</v>
      </c>
    </row>
    <row r="27" spans="1:7" x14ac:dyDescent="0.2">
      <c r="A27" t="str">
        <f>E1a!A27</f>
        <v>demEthnC4Black</v>
      </c>
      <c r="B27" s="1">
        <f>E1a!B27</f>
        <v>0.17154243828609281</v>
      </c>
      <c r="C27" s="1"/>
      <c r="D27" s="1" t="str">
        <f>E1a_orig!A27</f>
        <v>demEthnC4Black</v>
      </c>
      <c r="E27" s="1">
        <f>E1a_orig!B27</f>
        <v>0.1715424382860935</v>
      </c>
      <c r="G27" s="1">
        <f t="shared" si="0"/>
        <v>-6.9388939039072284E-16</v>
      </c>
    </row>
    <row r="28" spans="1:7" x14ac:dyDescent="0.2">
      <c r="A28" t="str">
        <f>E1a!A28</f>
        <v>demEthnC4Other</v>
      </c>
      <c r="B28" s="1">
        <f>E1a!B28</f>
        <v>-7.240395341279221E-2</v>
      </c>
      <c r="C28" s="1"/>
      <c r="D28" s="1" t="str">
        <f>E1a_orig!A28</f>
        <v>demEthnC4Other</v>
      </c>
      <c r="E28" s="1">
        <f>E1a_orig!B28</f>
        <v>-7.2403953412791114E-2</v>
      </c>
      <c r="G28" s="1">
        <f t="shared" si="0"/>
        <v>-1.0963452368173421E-15</v>
      </c>
    </row>
    <row r="29" spans="1:7" x14ac:dyDescent="0.2">
      <c r="A29" t="str">
        <f>E1a!A29</f>
        <v>Constant</v>
      </c>
      <c r="B29" s="1">
        <f>E1a!B29</f>
        <v>14.504607977326732</v>
      </c>
      <c r="C29" s="1"/>
      <c r="D29" s="1" t="str">
        <f>E1a_orig!A29</f>
        <v>Constant</v>
      </c>
      <c r="E29" s="1">
        <f>E1a_orig!B29</f>
        <v>14.504607977326586</v>
      </c>
      <c r="G29" s="1">
        <f t="shared" si="0"/>
        <v>1.4566126083082054E-13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G30"/>
  <sheetViews>
    <sheetView workbookViewId="0">
      <selection activeCell="A32" sqref="A32"/>
    </sheetView>
  </sheetViews>
  <sheetFormatPr baseColWidth="10" defaultColWidth="8.83203125" defaultRowHeight="15" x14ac:dyDescent="0.2"/>
  <cols>
    <col min="1" max="1" width="31.33203125" customWidth="1"/>
    <col min="4" max="4" width="23.1640625" customWidth="1"/>
  </cols>
  <sheetData>
    <row r="1" spans="1:7" x14ac:dyDescent="0.2">
      <c r="A1" t="str">
        <f>E1b!A1</f>
        <v>REGRESSOR</v>
      </c>
      <c r="B1" t="str">
        <f>E1b!B1</f>
        <v>COEFFICIENT</v>
      </c>
      <c r="D1" t="str">
        <f>E1b_orig!A1</f>
        <v>REGRESSOR</v>
      </c>
      <c r="E1" t="str">
        <f>E1b_orig!B1</f>
        <v>COEFFICIENT</v>
      </c>
      <c r="G1" t="s">
        <v>110</v>
      </c>
    </row>
    <row r="2" spans="1:7" x14ac:dyDescent="0.2">
      <c r="A2" t="str">
        <f>E1b!A2</f>
        <v>demMaleFlag</v>
      </c>
      <c r="B2">
        <f>E1b!B2</f>
        <v>-0.18352329027448377</v>
      </c>
      <c r="C2" s="1"/>
      <c r="D2" s="1" t="str">
        <f>E1b_orig!A2</f>
        <v>Dgn</v>
      </c>
      <c r="E2" s="1">
        <f>E1b_orig!B2</f>
        <v>-0.18352329027448366</v>
      </c>
      <c r="G2" s="1">
        <f>B2-E2</f>
        <v>0</v>
      </c>
    </row>
    <row r="3" spans="1:7" x14ac:dyDescent="0.2">
      <c r="A3" t="str">
        <f>E1b!A3</f>
        <v>demAge</v>
      </c>
      <c r="B3">
        <f>E1b!B3</f>
        <v>-0.19078019432177384</v>
      </c>
      <c r="C3" s="1"/>
      <c r="D3" s="1" t="str">
        <f>E1b_orig!A3</f>
        <v>Dag</v>
      </c>
      <c r="E3" s="1">
        <f>E1b_orig!B3</f>
        <v>-0.19078019432177379</v>
      </c>
      <c r="G3" s="1">
        <f t="shared" ref="G3:G30" si="0">B3-E3</f>
        <v>0</v>
      </c>
    </row>
    <row r="4" spans="1:7" x14ac:dyDescent="0.2">
      <c r="A4" t="str">
        <f>E1b!A4</f>
        <v>demAgeSq</v>
      </c>
      <c r="B4">
        <f>E1b!B4</f>
        <v>1.824660050543544E-3</v>
      </c>
      <c r="C4" s="1"/>
      <c r="D4" s="1" t="str">
        <f>E1b_orig!A4</f>
        <v>Dag_sq</v>
      </c>
      <c r="E4" s="1">
        <f>E1b_orig!B4</f>
        <v>1.8246600505435432E-3</v>
      </c>
      <c r="G4" s="1">
        <f t="shared" si="0"/>
        <v>0</v>
      </c>
    </row>
    <row r="5" spans="1:7" x14ac:dyDescent="0.2">
      <c r="A5" t="str">
        <f>E1b!A5</f>
        <v>demPartnerStatusPartneredL1</v>
      </c>
      <c r="B5">
        <f>E1b!B5</f>
        <v>-0.1819837826819462</v>
      </c>
      <c r="C5" s="1"/>
      <c r="D5" s="1" t="str">
        <f>E1b_orig!A5</f>
        <v>Dcpst_Partnered_L1</v>
      </c>
      <c r="E5" s="1">
        <f>E1b_orig!B5</f>
        <v>-0.18198378268194629</v>
      </c>
      <c r="G5" s="1">
        <f t="shared" si="0"/>
        <v>0</v>
      </c>
    </row>
    <row r="6" spans="1:7" x14ac:dyDescent="0.2">
      <c r="A6" t="str">
        <f>E1b!A6</f>
        <v>eduHighestC4HighL1</v>
      </c>
      <c r="B6">
        <f>E1b!B6</f>
        <v>5.5823342684173105E-2</v>
      </c>
      <c r="C6" s="1"/>
      <c r="D6" s="1" t="str">
        <f>E1b_orig!A6</f>
        <v>Deh_c4_High_L1</v>
      </c>
      <c r="E6" s="1">
        <f>E1b_orig!B6</f>
        <v>5.5823342684173119E-2</v>
      </c>
      <c r="G6" s="1">
        <f t="shared" si="0"/>
        <v>0</v>
      </c>
    </row>
    <row r="7" spans="1:7" x14ac:dyDescent="0.2">
      <c r="A7" t="str">
        <f>E1b!A7</f>
        <v>eduHighestC4LowL1</v>
      </c>
      <c r="B7">
        <f>E1b!B7</f>
        <v>-0.36602602034608805</v>
      </c>
      <c r="C7" s="1"/>
      <c r="D7" s="1" t="str">
        <f>E1b_orig!A7</f>
        <v>Deh_c4_Low_L1</v>
      </c>
      <c r="E7" s="1">
        <f>E1b_orig!B7</f>
        <v>-0.36602602034608811</v>
      </c>
      <c r="G7" s="1">
        <f t="shared" si="0"/>
        <v>0</v>
      </c>
    </row>
    <row r="8" spans="1:7" x14ac:dyDescent="0.2">
      <c r="A8" t="str">
        <f>E1b!A8</f>
        <v>eduHighestParentC3MediumL1</v>
      </c>
      <c r="B8">
        <f>E1b!B8</f>
        <v>-0.39908167086518248</v>
      </c>
      <c r="C8" s="1"/>
      <c r="D8" s="1" t="str">
        <f>E1b_orig!A8</f>
        <v>Dehmf_c3_Medium_L1</v>
      </c>
      <c r="E8" s="1">
        <f>E1b_orig!B8</f>
        <v>-0.39908167086518226</v>
      </c>
      <c r="G8" s="1">
        <f t="shared" si="0"/>
        <v>0</v>
      </c>
    </row>
    <row r="9" spans="1:7" x14ac:dyDescent="0.2">
      <c r="A9" t="str">
        <f>E1b!A9</f>
        <v>eduHighestParentC3LowL1</v>
      </c>
      <c r="B9">
        <f>E1b!B9</f>
        <v>-0.47489702590838118</v>
      </c>
      <c r="C9" s="1"/>
      <c r="D9" s="1" t="str">
        <f>E1b_orig!A9</f>
        <v>Dehmf_c3_Low_L1</v>
      </c>
      <c r="E9" s="1">
        <f>E1b_orig!B9</f>
        <v>-0.47489702590838101</v>
      </c>
      <c r="G9" s="1">
        <f t="shared" si="0"/>
        <v>0</v>
      </c>
    </row>
    <row r="10" spans="1:7" x14ac:dyDescent="0.2">
      <c r="A10" t="str">
        <f>E1b!A10</f>
        <v>labStatusC3NotEmployedL1</v>
      </c>
      <c r="B10">
        <f>E1b!B10</f>
        <v>0.24141221568554525</v>
      </c>
      <c r="C10" s="1"/>
      <c r="D10" s="1" t="str">
        <f>E1b_orig!A10</f>
        <v>Les_c3_NotEmployed_L1</v>
      </c>
      <c r="E10" s="1">
        <f>E1b_orig!B10</f>
        <v>0.2414122156855453</v>
      </c>
      <c r="G10" s="1">
        <f t="shared" si="0"/>
        <v>0</v>
      </c>
    </row>
    <row r="11" spans="1:7" x14ac:dyDescent="0.2">
      <c r="A11" t="str">
        <f>E1b!A11</f>
        <v>demNChildL1</v>
      </c>
      <c r="B11">
        <f>E1b!B11</f>
        <v>8.0152375131543982E-2</v>
      </c>
      <c r="C11" s="1"/>
      <c r="D11" s="1" t="str">
        <f>E1b_orig!A11</f>
        <v>Dnc_L1</v>
      </c>
      <c r="E11" s="1">
        <f>E1b_orig!B11</f>
        <v>8.0152375131543913E-2</v>
      </c>
      <c r="G11" s="1">
        <f t="shared" si="0"/>
        <v>0</v>
      </c>
    </row>
    <row r="12" spans="1:7" x14ac:dyDescent="0.2">
      <c r="A12" t="str">
        <f>E1b!A12</f>
        <v>demNChild0to2L1</v>
      </c>
      <c r="B12">
        <f>E1b!B12</f>
        <v>-0.27954910558564344</v>
      </c>
      <c r="C12" s="1"/>
      <c r="D12" s="1" t="str">
        <f>E1b_orig!A12</f>
        <v>Dnc02_L1</v>
      </c>
      <c r="E12" s="1">
        <f>E1b_orig!B12</f>
        <v>-0.27954910558564333</v>
      </c>
      <c r="G12" s="1">
        <f t="shared" si="0"/>
        <v>0</v>
      </c>
    </row>
    <row r="13" spans="1:7" x14ac:dyDescent="0.2">
      <c r="A13" t="str">
        <f>E1b!A13</f>
        <v>demRgnUKC</v>
      </c>
      <c r="B13">
        <f>E1b!B13</f>
        <v>0.24261062343045417</v>
      </c>
      <c r="C13" s="1"/>
      <c r="D13" s="1" t="str">
        <f>E1b_orig!A13</f>
        <v>demRgnUKC</v>
      </c>
      <c r="E13" s="1">
        <f>E1b_orig!B13</f>
        <v>0.24261062343045425</v>
      </c>
      <c r="G13" s="1">
        <f t="shared" si="0"/>
        <v>0</v>
      </c>
    </row>
    <row r="14" spans="1:7" x14ac:dyDescent="0.2">
      <c r="A14" t="str">
        <f>E1b!A14</f>
        <v>demRgnUKD</v>
      </c>
      <c r="B14">
        <f>E1b!B14</f>
        <v>4.0222253109130829E-2</v>
      </c>
      <c r="C14" s="1"/>
      <c r="D14" s="1" t="str">
        <f>E1b_orig!A14</f>
        <v>demRgnUKD</v>
      </c>
      <c r="E14" s="1">
        <f>E1b_orig!B14</f>
        <v>4.0222253109131072E-2</v>
      </c>
      <c r="G14" s="1">
        <f t="shared" si="0"/>
        <v>-2.4286128663675299E-16</v>
      </c>
    </row>
    <row r="15" spans="1:7" x14ac:dyDescent="0.2">
      <c r="A15" t="str">
        <f>E1b!A15</f>
        <v>demRgnUKE</v>
      </c>
      <c r="B15">
        <f>E1b!B15</f>
        <v>6.7862762525235626E-2</v>
      </c>
      <c r="C15" s="1"/>
      <c r="D15" s="1" t="str">
        <f>E1b_orig!A15</f>
        <v>demRgnUKE</v>
      </c>
      <c r="E15" s="1">
        <f>E1b_orig!B15</f>
        <v>6.786276252523564E-2</v>
      </c>
      <c r="G15" s="1">
        <f t="shared" si="0"/>
        <v>0</v>
      </c>
    </row>
    <row r="16" spans="1:7" x14ac:dyDescent="0.2">
      <c r="A16" t="str">
        <f>E1b!A16</f>
        <v>demRgnUKF</v>
      </c>
      <c r="B16">
        <f>E1b!B16</f>
        <v>-2.6757341503754379E-2</v>
      </c>
      <c r="C16" s="1"/>
      <c r="D16" s="1" t="str">
        <f>E1b_orig!A16</f>
        <v>demRgnUKF</v>
      </c>
      <c r="E16" s="1">
        <f>E1b_orig!B16</f>
        <v>-2.6757341503754372E-2</v>
      </c>
      <c r="G16" s="1">
        <f t="shared" si="0"/>
        <v>0</v>
      </c>
    </row>
    <row r="17" spans="1:7" x14ac:dyDescent="0.2">
      <c r="A17" t="str">
        <f>E1b!A17</f>
        <v>demRgnUKG</v>
      </c>
      <c r="B17">
        <f>E1b!B17</f>
        <v>0.13871149405160627</v>
      </c>
      <c r="C17" s="1"/>
      <c r="D17" s="1" t="str">
        <f>E1b_orig!A17</f>
        <v>demRgnUKG</v>
      </c>
      <c r="E17" s="1">
        <f>E1b_orig!B17</f>
        <v>0.13871149405160638</v>
      </c>
      <c r="G17" s="1">
        <f t="shared" si="0"/>
        <v>0</v>
      </c>
    </row>
    <row r="18" spans="1:7" x14ac:dyDescent="0.2">
      <c r="A18" t="str">
        <f>E1b!A18</f>
        <v>demRgnUKH</v>
      </c>
      <c r="B18">
        <f>E1b!B18</f>
        <v>6.1773611342257805E-2</v>
      </c>
      <c r="C18" s="1"/>
      <c r="D18" s="1" t="str">
        <f>E1b_orig!A18</f>
        <v>demRgnUKH</v>
      </c>
      <c r="E18" s="1">
        <f>E1b_orig!B18</f>
        <v>6.177361134225786E-2</v>
      </c>
      <c r="G18" s="1">
        <f t="shared" si="0"/>
        <v>-5.5511151231257827E-17</v>
      </c>
    </row>
    <row r="19" spans="1:7" x14ac:dyDescent="0.2">
      <c r="A19" t="str">
        <f>E1b!A19</f>
        <v>demRgnUKJ</v>
      </c>
      <c r="B19">
        <f>E1b!B19</f>
        <v>9.6989399024667633E-2</v>
      </c>
      <c r="C19" s="1"/>
      <c r="D19" s="1" t="str">
        <f>E1b_orig!A19</f>
        <v>demRgnUKJ</v>
      </c>
      <c r="E19" s="1">
        <f>E1b_orig!B19</f>
        <v>9.6989399024668022E-2</v>
      </c>
      <c r="G19" s="1">
        <f t="shared" si="0"/>
        <v>-3.8857805861880479E-16</v>
      </c>
    </row>
    <row r="20" spans="1:7" x14ac:dyDescent="0.2">
      <c r="A20" t="str">
        <f>E1b!A20</f>
        <v>demRgnUKK</v>
      </c>
      <c r="B20">
        <f>E1b!B20</f>
        <v>5.5746337311193057E-2</v>
      </c>
      <c r="C20" s="1"/>
      <c r="D20" s="1" t="str">
        <f>E1b_orig!A20</f>
        <v>demRgnUKK</v>
      </c>
      <c r="E20" s="1">
        <f>E1b_orig!B20</f>
        <v>5.5746337311193411E-2</v>
      </c>
      <c r="G20" s="1">
        <f t="shared" si="0"/>
        <v>-3.5388358909926865E-16</v>
      </c>
    </row>
    <row r="21" spans="1:7" x14ac:dyDescent="0.2">
      <c r="A21" t="str">
        <f>E1b!A21</f>
        <v>demRgnUKL</v>
      </c>
      <c r="B21">
        <f>E1b!B21</f>
        <v>4.0239399230570815E-2</v>
      </c>
      <c r="C21" s="1"/>
      <c r="D21" s="1" t="str">
        <f>E1b_orig!A21</f>
        <v>demRgnUKL</v>
      </c>
      <c r="E21" s="1">
        <f>E1b_orig!B21</f>
        <v>4.023939923057087E-2</v>
      </c>
      <c r="G21" s="1">
        <f t="shared" si="0"/>
        <v>-5.5511151231257827E-17</v>
      </c>
    </row>
    <row r="22" spans="1:7" x14ac:dyDescent="0.2">
      <c r="A22" t="str">
        <f>E1b!A22</f>
        <v>demRgnUKM</v>
      </c>
      <c r="B22">
        <f>E1b!B22</f>
        <v>0.31004908426141653</v>
      </c>
      <c r="C22" s="1"/>
      <c r="D22" s="1" t="str">
        <f>E1b_orig!A22</f>
        <v>demRgnUKM</v>
      </c>
      <c r="E22" s="1">
        <f>E1b_orig!B22</f>
        <v>0.31004908426141664</v>
      </c>
      <c r="G22" s="1">
        <f t="shared" si="0"/>
        <v>0</v>
      </c>
    </row>
    <row r="23" spans="1:7" x14ac:dyDescent="0.2">
      <c r="A23" t="str">
        <f>E1b!A23</f>
        <v>demRgnUKN</v>
      </c>
      <c r="B23">
        <f>E1b!B23</f>
        <v>8.1358466826021422E-2</v>
      </c>
      <c r="C23" s="1"/>
      <c r="D23" s="1" t="str">
        <f>E1b_orig!A23</f>
        <v>demRgnUKN</v>
      </c>
      <c r="E23" s="1">
        <f>E1b_orig!B23</f>
        <v>8.1358466826021575E-2</v>
      </c>
      <c r="G23" s="1">
        <f t="shared" si="0"/>
        <v>-1.5265566588595902E-16</v>
      </c>
    </row>
    <row r="24" spans="1:7" x14ac:dyDescent="0.2">
      <c r="A24" t="str">
        <f>E1b!A24</f>
        <v>demYearTransformed</v>
      </c>
      <c r="B24">
        <f>E1b!B24</f>
        <v>-5.6203042559486351E-3</v>
      </c>
      <c r="C24" s="1"/>
      <c r="D24" s="1" t="str">
        <f>E1b_orig!A24</f>
        <v>Year_transformed</v>
      </c>
      <c r="E24" s="1">
        <f>E1b_orig!B24</f>
        <v>-5.6203042559486854E-3</v>
      </c>
      <c r="G24" s="1">
        <f t="shared" si="0"/>
        <v>5.0306980803327406E-17</v>
      </c>
    </row>
    <row r="25" spans="1:7" x14ac:dyDescent="0.2">
      <c r="A25" t="str">
        <f>E1b!A25</f>
        <v>demYear2020</v>
      </c>
      <c r="B25">
        <f>E1b!B25</f>
        <v>-1.6606739423578529E-3</v>
      </c>
      <c r="C25" s="1"/>
      <c r="D25" s="1" t="str">
        <f>E1b_orig!A25</f>
        <v>Y2020</v>
      </c>
      <c r="E25" s="1">
        <f>E1b_orig!B25</f>
        <v>-1.6606739423576362E-3</v>
      </c>
      <c r="G25" s="1">
        <f t="shared" si="0"/>
        <v>-2.1662359406260379E-16</v>
      </c>
    </row>
    <row r="26" spans="1:7" x14ac:dyDescent="0.2">
      <c r="A26" t="str">
        <f>E1b!A26</f>
        <v>demYear2021</v>
      </c>
      <c r="B26">
        <f>E1b!B26</f>
        <v>0.10466230451637719</v>
      </c>
      <c r="C26" s="1"/>
      <c r="D26" s="1" t="str">
        <f>E1b_orig!A26</f>
        <v>Y2021</v>
      </c>
      <c r="E26" s="1">
        <f>E1b_orig!B26</f>
        <v>0.10466230451637747</v>
      </c>
      <c r="G26" s="1">
        <f t="shared" si="0"/>
        <v>-2.7755575615628914E-16</v>
      </c>
    </row>
    <row r="27" spans="1:7" x14ac:dyDescent="0.2">
      <c r="A27" t="str">
        <f>E1b!A27</f>
        <v>demEthnC4Asian</v>
      </c>
      <c r="B27">
        <f>E1b!B27</f>
        <v>0.14160826326093826</v>
      </c>
      <c r="C27" s="1"/>
      <c r="D27" s="1" t="str">
        <f>E1b_orig!A27</f>
        <v>demEthnC4Asian</v>
      </c>
      <c r="E27" s="1">
        <f>E1b_orig!B27</f>
        <v>0.14160826326093834</v>
      </c>
      <c r="G27" s="1">
        <f t="shared" si="0"/>
        <v>0</v>
      </c>
    </row>
    <row r="28" spans="1:7" x14ac:dyDescent="0.2">
      <c r="A28" t="str">
        <f>E1b!A28</f>
        <v>demEthnC4Black</v>
      </c>
      <c r="B28">
        <f>E1b!B28</f>
        <v>0.40632798565635414</v>
      </c>
      <c r="C28" s="1"/>
      <c r="D28" s="1" t="str">
        <f>E1b_orig!A28</f>
        <v>demEthnC4Black</v>
      </c>
      <c r="E28" s="1">
        <f>E1b_orig!B28</f>
        <v>0.40632798565635442</v>
      </c>
      <c r="G28" s="1">
        <f t="shared" si="0"/>
        <v>0</v>
      </c>
    </row>
    <row r="29" spans="1:7" x14ac:dyDescent="0.2">
      <c r="A29" t="str">
        <f>E1b!A29</f>
        <v>demEthnC4Other</v>
      </c>
      <c r="B29">
        <f>E1b!B29</f>
        <v>1.536154139972486E-2</v>
      </c>
      <c r="C29" s="1"/>
      <c r="D29" s="1" t="str">
        <f>E1b_orig!A29</f>
        <v>demEthnC4Other</v>
      </c>
      <c r="E29" s="1">
        <f>E1b_orig!B29</f>
        <v>1.5361541399724964E-2</v>
      </c>
      <c r="G29" s="1">
        <f t="shared" si="0"/>
        <v>-1.0408340855860843E-16</v>
      </c>
    </row>
    <row r="30" spans="1:7" x14ac:dyDescent="0.2">
      <c r="A30" t="str">
        <f>E1b!A30</f>
        <v>Constant</v>
      </c>
      <c r="B30">
        <f>E1b!B30</f>
        <v>2.1813489672829425</v>
      </c>
      <c r="C30" s="1"/>
      <c r="D30" s="1" t="str">
        <f>E1b_orig!A30</f>
        <v>Constant</v>
      </c>
      <c r="E30" s="1">
        <f>E1b_orig!B30</f>
        <v>2.181348967282942</v>
      </c>
      <c r="G30" s="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4659260841701"/>
  </sheetPr>
  <dimension ref="A1:G32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29.83203125" customWidth="1"/>
    <col min="4" max="4" width="33" customWidth="1"/>
  </cols>
  <sheetData>
    <row r="1" spans="1:7" x14ac:dyDescent="0.2">
      <c r="A1" t="str">
        <f>'E2'!A1</f>
        <v>REGRESSOR</v>
      </c>
      <c r="B1" t="str">
        <f>'E2'!B1</f>
        <v>COEFFICIENT</v>
      </c>
      <c r="D1" t="str">
        <f>E2_orig!A1</f>
        <v>REGRESSOR</v>
      </c>
      <c r="E1" t="str">
        <f>E2_orig!B1</f>
        <v>COEFFICIENT</v>
      </c>
      <c r="G1" t="s">
        <v>110</v>
      </c>
    </row>
    <row r="2" spans="1:7" x14ac:dyDescent="0.2">
      <c r="A2" t="str">
        <f>'E2'!A2</f>
        <v>demMaleFlag_Low</v>
      </c>
      <c r="B2">
        <f>'E2'!B2</f>
        <v>-0.70269445766594751</v>
      </c>
      <c r="D2" t="str">
        <f>E2_orig!A2</f>
        <v>Dgn_Low</v>
      </c>
      <c r="E2">
        <f>E2_orig!B2</f>
        <v>-0.70269445766485306</v>
      </c>
      <c r="G2" s="1">
        <f>B2-E2</f>
        <v>-1.0944578576754793E-12</v>
      </c>
    </row>
    <row r="3" spans="1:7" x14ac:dyDescent="0.2">
      <c r="A3" t="str">
        <f>'E2'!A3</f>
        <v>demAge_Low</v>
      </c>
      <c r="B3">
        <f>'E2'!B3</f>
        <v>0.7021865775689643</v>
      </c>
      <c r="D3" t="str">
        <f>E2_orig!A3</f>
        <v>Dag_Low</v>
      </c>
      <c r="E3">
        <f>E2_orig!B3</f>
        <v>0.70218657757178049</v>
      </c>
      <c r="G3" s="1">
        <f t="shared" ref="G3:G32" si="0">B3-E3</f>
        <v>-2.8161917242641721E-12</v>
      </c>
    </row>
    <row r="4" spans="1:7" x14ac:dyDescent="0.2">
      <c r="A4" t="str">
        <f>'E2'!A4</f>
        <v>demAgeSq_Low</v>
      </c>
      <c r="B4">
        <f>'E2'!B4</f>
        <v>-9.1555150716159557E-3</v>
      </c>
      <c r="D4" t="str">
        <f>E2_orig!A4</f>
        <v>Dag_sq_Low</v>
      </c>
      <c r="E4">
        <f>E2_orig!B4</f>
        <v>-9.1555150716850428E-3</v>
      </c>
      <c r="G4" s="1">
        <f t="shared" si="0"/>
        <v>6.9087097154252319E-14</v>
      </c>
    </row>
    <row r="5" spans="1:7" x14ac:dyDescent="0.2">
      <c r="A5" t="str">
        <f>'E2'!A5</f>
        <v>eduHighestParentC3MediumL1_</v>
      </c>
      <c r="B5">
        <f>'E2'!B5</f>
        <v>-0.36235547326872475</v>
      </c>
      <c r="D5" t="str">
        <f>E2_orig!A5</f>
        <v>L_Dehmf_c3_Medium_</v>
      </c>
      <c r="E5">
        <f>E2_orig!B5</f>
        <v>-0.36235547327336504</v>
      </c>
      <c r="G5" s="1">
        <f t="shared" si="0"/>
        <v>4.6402881537233043E-12</v>
      </c>
    </row>
    <row r="6" spans="1:7" x14ac:dyDescent="0.2">
      <c r="A6" t="str">
        <f>'E2'!A6</f>
        <v>eduHighestParentC3LowL1_</v>
      </c>
      <c r="B6">
        <f>'E2'!B6</f>
        <v>-1.1278755901799129</v>
      </c>
      <c r="D6" t="str">
        <f>E2_orig!A6</f>
        <v>L_Dehmf_c3_Low_</v>
      </c>
      <c r="E6">
        <f>E2_orig!B6</f>
        <v>-1.1278755901896758</v>
      </c>
      <c r="G6" s="1">
        <f t="shared" si="0"/>
        <v>9.7628571893437766E-12</v>
      </c>
    </row>
    <row r="7" spans="1:7" x14ac:dyDescent="0.2">
      <c r="A7" t="str">
        <f>'E2'!A7</f>
        <v>demRgnUKC_</v>
      </c>
      <c r="B7">
        <f>'E2'!B7</f>
        <v>-0.34052897374964242</v>
      </c>
      <c r="D7" t="str">
        <f>E2_orig!A7</f>
        <v>demRgnUKC_</v>
      </c>
      <c r="E7">
        <f>E2_orig!B7</f>
        <v>-0.34052897375326996</v>
      </c>
      <c r="G7" s="1">
        <f t="shared" si="0"/>
        <v>3.6275427106602365E-12</v>
      </c>
    </row>
    <row r="8" spans="1:7" x14ac:dyDescent="0.2">
      <c r="A8" t="str">
        <f>'E2'!A8</f>
        <v>demRgnUKD_</v>
      </c>
      <c r="B8">
        <f>'E2'!B8</f>
        <v>-0.2058281598373842</v>
      </c>
      <c r="D8" t="str">
        <f>E2_orig!A8</f>
        <v>demRgnUKD_</v>
      </c>
      <c r="E8">
        <f>E2_orig!B8</f>
        <v>-0.2058281598393048</v>
      </c>
      <c r="G8" s="1">
        <f t="shared" si="0"/>
        <v>1.9206025658746739E-12</v>
      </c>
    </row>
    <row r="9" spans="1:7" x14ac:dyDescent="0.2">
      <c r="A9" t="str">
        <f>'E2'!A9</f>
        <v>demRgnUKE_Low</v>
      </c>
      <c r="B9">
        <f>'E2'!B9</f>
        <v>0.28530113479258173</v>
      </c>
      <c r="D9" t="str">
        <f>E2_orig!A9</f>
        <v>demRgnUKE_Low</v>
      </c>
      <c r="E9">
        <f>E2_orig!B9</f>
        <v>0.28530113479044394</v>
      </c>
      <c r="G9" s="1">
        <f t="shared" si="0"/>
        <v>2.1377899450669702E-12</v>
      </c>
    </row>
    <row r="10" spans="1:7" x14ac:dyDescent="0.2">
      <c r="A10" t="str">
        <f>'E2'!A10</f>
        <v>demRgnUKF_</v>
      </c>
      <c r="B10">
        <f>'E2'!B10</f>
        <v>7.2134082402282695E-2</v>
      </c>
      <c r="D10" t="str">
        <f>E2_orig!A10</f>
        <v>demRgnUKF_</v>
      </c>
      <c r="E10">
        <f>E2_orig!B10</f>
        <v>7.21340824023185E-2</v>
      </c>
      <c r="G10" s="1">
        <f t="shared" si="0"/>
        <v>-3.5804692544161298E-14</v>
      </c>
    </row>
    <row r="11" spans="1:7" x14ac:dyDescent="0.2">
      <c r="A11" t="str">
        <f>'E2'!A11</f>
        <v>demRgnUKG_</v>
      </c>
      <c r="B11">
        <f>'E2'!B11</f>
        <v>1.6402789873566366E-3</v>
      </c>
      <c r="D11" t="str">
        <f>E2_orig!A11</f>
        <v>demRgnUKG_</v>
      </c>
      <c r="E11">
        <f>E2_orig!B11</f>
        <v>1.6402789869466854E-3</v>
      </c>
      <c r="G11" s="1">
        <f t="shared" si="0"/>
        <v>4.0995115288544604E-13</v>
      </c>
    </row>
    <row r="12" spans="1:7" x14ac:dyDescent="0.2">
      <c r="A12" t="str">
        <f>'E2'!A12</f>
        <v>demRgnUKH_</v>
      </c>
      <c r="B12">
        <f>'E2'!B12</f>
        <v>9.3481552336863019E-2</v>
      </c>
      <c r="D12" t="str">
        <f>E2_orig!A12</f>
        <v>demRgnUKH_</v>
      </c>
      <c r="E12">
        <f>E2_orig!B12</f>
        <v>9.3481552337342746E-2</v>
      </c>
      <c r="G12" s="1">
        <f t="shared" si="0"/>
        <v>-4.7972736894053014E-13</v>
      </c>
    </row>
    <row r="13" spans="1:7" x14ac:dyDescent="0.2">
      <c r="A13" t="str">
        <f>'E2'!A13</f>
        <v>demRgnUKJ_</v>
      </c>
      <c r="B13">
        <f>'E2'!B13</f>
        <v>0.12025768533834048</v>
      </c>
      <c r="D13" t="str">
        <f>E2_orig!A13</f>
        <v>demRgnUKJ_</v>
      </c>
      <c r="E13">
        <f>E2_orig!B13</f>
        <v>0.12025768533892987</v>
      </c>
      <c r="G13" s="1">
        <f t="shared" si="0"/>
        <v>-5.8938964819787998E-13</v>
      </c>
    </row>
    <row r="14" spans="1:7" x14ac:dyDescent="0.2">
      <c r="A14" t="str">
        <f>'E2'!A14</f>
        <v>demRgnUKK_</v>
      </c>
      <c r="B14">
        <f>'E2'!B14</f>
        <v>-0.18487126222746433</v>
      </c>
      <c r="D14" t="str">
        <f>E2_orig!A14</f>
        <v>demRgnUKK_</v>
      </c>
      <c r="E14">
        <f>E2_orig!B14</f>
        <v>-0.18487126222889116</v>
      </c>
      <c r="G14" s="1">
        <f t="shared" si="0"/>
        <v>1.4268308756726356E-12</v>
      </c>
    </row>
    <row r="15" spans="1:7" x14ac:dyDescent="0.2">
      <c r="A15" t="str">
        <f>'E2'!A15</f>
        <v>demRgnUKL_</v>
      </c>
      <c r="B15">
        <f>'E2'!B15</f>
        <v>-0.21853624108533759</v>
      </c>
      <c r="D15" t="str">
        <f>E2_orig!A15</f>
        <v>demRgnUKL_</v>
      </c>
      <c r="E15">
        <f>E2_orig!B15</f>
        <v>-0.21853624108916542</v>
      </c>
      <c r="G15" s="1">
        <f t="shared" si="0"/>
        <v>3.8278269443026147E-12</v>
      </c>
    </row>
    <row r="16" spans="1:7" x14ac:dyDescent="0.2">
      <c r="A16" t="str">
        <f>'E2'!A16</f>
        <v>demRgnUKM_Low</v>
      </c>
      <c r="B16">
        <f>'E2'!B16</f>
        <v>0.64321632479633362</v>
      </c>
      <c r="D16" t="str">
        <f>E2_orig!A16</f>
        <v>demRgnUKM_Low</v>
      </c>
      <c r="E16">
        <f>E2_orig!B16</f>
        <v>0.64321632479212854</v>
      </c>
      <c r="G16" s="1">
        <f t="shared" si="0"/>
        <v>4.2050807280702429E-12</v>
      </c>
    </row>
    <row r="17" spans="1:7" x14ac:dyDescent="0.2">
      <c r="A17" t="str">
        <f>'E2'!A17</f>
        <v>demRgnUKN_Low</v>
      </c>
      <c r="B17">
        <f>'E2'!B17</f>
        <v>-0.74273764434959522</v>
      </c>
      <c r="D17" t="str">
        <f>E2_orig!A17</f>
        <v>demRgnUKN_Low</v>
      </c>
      <c r="E17">
        <f>E2_orig!B17</f>
        <v>-0.74273764435127942</v>
      </c>
      <c r="G17" s="1">
        <f t="shared" si="0"/>
        <v>1.6842083283563625E-12</v>
      </c>
    </row>
    <row r="18" spans="1:7" x14ac:dyDescent="0.2">
      <c r="A18" t="str">
        <f>'E2'!A18</f>
        <v>demYearTransformed_Low</v>
      </c>
      <c r="B18">
        <f>'E2'!B18</f>
        <v>-4.3988276084517601E-2</v>
      </c>
      <c r="D18" t="str">
        <f>E2_orig!A18</f>
        <v>Year_transformed_Low</v>
      </c>
      <c r="E18">
        <f>E2_orig!B18</f>
        <v>-4.3988276084717171E-2</v>
      </c>
      <c r="G18" s="1">
        <f t="shared" si="0"/>
        <v>1.995695275702758E-13</v>
      </c>
    </row>
    <row r="19" spans="1:7" x14ac:dyDescent="0.2">
      <c r="A19" t="str">
        <f>'E2'!A19</f>
        <v>demYear2020_</v>
      </c>
      <c r="B19">
        <f>'E2'!B19</f>
        <v>-4.5405195870811474E-2</v>
      </c>
      <c r="D19" t="str">
        <f>E2_orig!A19</f>
        <v>Y2020_</v>
      </c>
      <c r="E19">
        <f>E2_orig!B19</f>
        <v>-4.5405195871937795E-2</v>
      </c>
      <c r="G19" s="1">
        <f t="shared" si="0"/>
        <v>1.1263212584822213E-12</v>
      </c>
    </row>
    <row r="20" spans="1:7" x14ac:dyDescent="0.2">
      <c r="A20" t="str">
        <f>'E2'!A20</f>
        <v>demYear2021_</v>
      </c>
      <c r="B20">
        <f>'E2'!B20</f>
        <v>-7.4294877842719384E-3</v>
      </c>
      <c r="D20" t="str">
        <f>E2_orig!A20</f>
        <v>Y2021_</v>
      </c>
      <c r="E20">
        <f>E2_orig!B20</f>
        <v>-7.4294877844903618E-3</v>
      </c>
      <c r="G20" s="1">
        <f t="shared" si="0"/>
        <v>2.1842336966892972E-13</v>
      </c>
    </row>
    <row r="21" spans="1:7" x14ac:dyDescent="0.2">
      <c r="A21" t="str">
        <f>'E2'!A21</f>
        <v>demEthnC4Asian_</v>
      </c>
      <c r="B21">
        <f>'E2'!B21</f>
        <v>0.45087035665425657</v>
      </c>
      <c r="D21" t="str">
        <f>E2_orig!A21</f>
        <v>demEthnC4Asian_</v>
      </c>
      <c r="E21">
        <f>E2_orig!B21</f>
        <v>0.45087035665853153</v>
      </c>
      <c r="G21" s="1">
        <f t="shared" si="0"/>
        <v>-4.2749692674703965E-12</v>
      </c>
    </row>
    <row r="22" spans="1:7" x14ac:dyDescent="0.2">
      <c r="A22" t="str">
        <f>'E2'!A22</f>
        <v>demEthnC4Black_</v>
      </c>
      <c r="B22">
        <f>'E2'!B22</f>
        <v>-0.861596101506236</v>
      </c>
      <c r="D22" t="str">
        <f>E2_orig!A22</f>
        <v>demEthnC4Black_</v>
      </c>
      <c r="E22">
        <f>E2_orig!B22</f>
        <v>-0.86159610151550126</v>
      </c>
      <c r="G22" s="1">
        <f t="shared" si="0"/>
        <v>9.2652552297067814E-12</v>
      </c>
    </row>
    <row r="23" spans="1:7" x14ac:dyDescent="0.2">
      <c r="A23" t="str">
        <f>'E2'!A23</f>
        <v>demEthnC4Other_</v>
      </c>
      <c r="B23">
        <f>'E2'!B23</f>
        <v>-0.16428306254050323</v>
      </c>
      <c r="D23" t="str">
        <f>E2_orig!A23</f>
        <v>demEthnC4Other_</v>
      </c>
      <c r="E23">
        <f>E2_orig!B23</f>
        <v>-0.16428306254176392</v>
      </c>
      <c r="G23" s="1">
        <f t="shared" si="0"/>
        <v>1.2606860000374809E-12</v>
      </c>
    </row>
    <row r="24" spans="1:7" x14ac:dyDescent="0.2">
      <c r="A24" t="str">
        <f>'E2'!A24</f>
        <v>Constant_Low</v>
      </c>
      <c r="B24">
        <f>'E2'!B24</f>
        <v>-5.284505865695162</v>
      </c>
      <c r="D24" t="str">
        <f>E2_orig!A24</f>
        <v>Constant_Low</v>
      </c>
      <c r="E24">
        <f>E2_orig!B24</f>
        <v>-5.2845058657298729</v>
      </c>
      <c r="G24" s="1">
        <f t="shared" si="0"/>
        <v>3.4710900820300594E-11</v>
      </c>
    </row>
    <row r="25" spans="1:7" x14ac:dyDescent="0.2">
      <c r="A25" t="str">
        <f>'E2'!A25</f>
        <v>demMaleFlag_Medium</v>
      </c>
      <c r="B25">
        <f>'E2'!B25</f>
        <v>8.7228707549441842E-2</v>
      </c>
      <c r="D25" t="str">
        <f>E2_orig!A25</f>
        <v>Dgn_Medium</v>
      </c>
      <c r="E25">
        <f>E2_orig!B25</f>
        <v>8.7228707549752718E-2</v>
      </c>
      <c r="G25" s="1">
        <f t="shared" si="0"/>
        <v>-3.1087632468285165E-13</v>
      </c>
    </row>
    <row r="26" spans="1:7" x14ac:dyDescent="0.2">
      <c r="A26" t="str">
        <f>'E2'!A26</f>
        <v>demAge_Medium</v>
      </c>
      <c r="B26">
        <f>'E2'!B26</f>
        <v>1.1147671940833528</v>
      </c>
      <c r="D26" t="str">
        <f>E2_orig!A26</f>
        <v>Dag_Medium</v>
      </c>
      <c r="E26">
        <f>E2_orig!B26</f>
        <v>1.1147671940973094</v>
      </c>
      <c r="G26" s="1">
        <f t="shared" si="0"/>
        <v>-1.3956613642562843E-11</v>
      </c>
    </row>
    <row r="27" spans="1:7" x14ac:dyDescent="0.2">
      <c r="A27" t="str">
        <f>'E2'!A27</f>
        <v>demAgeSq_Medium</v>
      </c>
      <c r="B27">
        <f>'E2'!B27</f>
        <v>-1.4490874588703895E-2</v>
      </c>
      <c r="D27" t="str">
        <f>E2_orig!A27</f>
        <v>Dag_sq_Medium</v>
      </c>
      <c r="E27">
        <f>E2_orig!B27</f>
        <v>-1.4490874588886074E-2</v>
      </c>
      <c r="G27" s="1">
        <f t="shared" si="0"/>
        <v>1.821789247236083E-13</v>
      </c>
    </row>
    <row r="28" spans="1:7" x14ac:dyDescent="0.2">
      <c r="A28" t="str">
        <f>'E2'!A28</f>
        <v>demRgnUKE_Medium</v>
      </c>
      <c r="B28">
        <f>'E2'!B28</f>
        <v>-0.46286116847873859</v>
      </c>
      <c r="D28" t="str">
        <f>E2_orig!A28</f>
        <v>demRgnUKE_Medium</v>
      </c>
      <c r="E28">
        <f>E2_orig!B28</f>
        <v>-0.46286116848422726</v>
      </c>
      <c r="G28" s="1">
        <f t="shared" si="0"/>
        <v>5.4886650779906176E-12</v>
      </c>
    </row>
    <row r="29" spans="1:7" x14ac:dyDescent="0.2">
      <c r="A29" t="str">
        <f>'E2'!A29</f>
        <v>demRgnUKM_Medium</v>
      </c>
      <c r="B29">
        <f>'E2'!B29</f>
        <v>-0.69714558168500984</v>
      </c>
      <c r="D29" t="str">
        <f>E2_orig!A29</f>
        <v>demRgnUKM_Medium</v>
      </c>
      <c r="E29">
        <f>E2_orig!B29</f>
        <v>-0.69714558169245056</v>
      </c>
      <c r="G29" s="1">
        <f t="shared" si="0"/>
        <v>7.4407147110377991E-12</v>
      </c>
    </row>
    <row r="30" spans="1:7" x14ac:dyDescent="0.2">
      <c r="A30" t="str">
        <f>'E2'!A30</f>
        <v>demRgnUKN_Medium</v>
      </c>
      <c r="B30">
        <f>'E2'!B30</f>
        <v>-8.350987592658568E-2</v>
      </c>
      <c r="D30" t="str">
        <f>E2_orig!A30</f>
        <v>demRgnUKN_Medium</v>
      </c>
      <c r="E30">
        <f>E2_orig!B30</f>
        <v>-8.3509875930031396E-2</v>
      </c>
      <c r="G30" s="1">
        <f t="shared" si="0"/>
        <v>3.4457159348022515E-12</v>
      </c>
    </row>
    <row r="31" spans="1:7" x14ac:dyDescent="0.2">
      <c r="A31" t="str">
        <f>'E2'!A31</f>
        <v>demYearTransformed_Medium</v>
      </c>
      <c r="B31">
        <f>'E2'!B31</f>
        <v>2.4101308431316013E-2</v>
      </c>
      <c r="D31" t="str">
        <f>E2_orig!A31</f>
        <v>Year_transformed_Medium</v>
      </c>
      <c r="E31">
        <f>E2_orig!B31</f>
        <v>2.4101308431615596E-2</v>
      </c>
      <c r="G31" s="1">
        <f t="shared" si="0"/>
        <v>-2.9958327485424263E-13</v>
      </c>
    </row>
    <row r="32" spans="1:7" x14ac:dyDescent="0.2">
      <c r="A32" t="str">
        <f>'E2'!A32</f>
        <v>Constant_Medium</v>
      </c>
      <c r="B32">
        <f>'E2'!B32</f>
        <v>-17.698016356937142</v>
      </c>
      <c r="D32" t="str">
        <f>E2_orig!A32</f>
        <v>Constant_Medium</v>
      </c>
      <c r="E32">
        <f>E2_orig!B32</f>
        <v>-17.698016357160988</v>
      </c>
      <c r="G32" s="1">
        <f t="shared" si="0"/>
        <v>2.2384583076018316E-10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20" t="s">
        <v>0</v>
      </c>
      <c r="B1" t="s">
        <v>1</v>
      </c>
    </row>
    <row r="2" spans="1:2" x14ac:dyDescent="0.2">
      <c r="A2" t="s">
        <v>2</v>
      </c>
      <c r="B2" t="s">
        <v>70</v>
      </c>
    </row>
    <row r="3" spans="1:2" x14ac:dyDescent="0.2">
      <c r="A3" t="s">
        <v>3</v>
      </c>
      <c r="B3" t="s">
        <v>71</v>
      </c>
    </row>
    <row r="5" spans="1:2" x14ac:dyDescent="0.2">
      <c r="A5" s="21" t="s">
        <v>4</v>
      </c>
      <c r="B5" s="22" t="s">
        <v>0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12</v>
      </c>
    </row>
    <row r="11" spans="1:2" x14ac:dyDescent="0.2">
      <c r="A11" s="23" t="s">
        <v>13</v>
      </c>
      <c r="B11" t="s">
        <v>14</v>
      </c>
    </row>
    <row r="12" spans="1:2" x14ac:dyDescent="0.2">
      <c r="B1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83203125" defaultRowHeight="15" x14ac:dyDescent="0.2"/>
  <sheetData>
    <row r="1" spans="1:6" x14ac:dyDescent="0.2">
      <c r="A1" s="24" t="s">
        <v>16</v>
      </c>
    </row>
    <row r="3" spans="1:6" x14ac:dyDescent="0.2">
      <c r="A3" s="25" t="s">
        <v>33</v>
      </c>
    </row>
    <row r="4" spans="1:6" x14ac:dyDescent="0.2">
      <c r="A4" t="s">
        <v>34</v>
      </c>
      <c r="B4">
        <v>0.10295719488845845</v>
      </c>
      <c r="E4" t="s">
        <v>36</v>
      </c>
      <c r="F4">
        <v>1598.8036274940225</v>
      </c>
    </row>
    <row r="5" spans="1:6" x14ac:dyDescent="0.2">
      <c r="A5" t="s">
        <v>35</v>
      </c>
      <c r="B5">
        <v>22095</v>
      </c>
      <c r="E5" t="s">
        <v>37</v>
      </c>
      <c r="F5">
        <v>-7381012.3587799547</v>
      </c>
    </row>
    <row r="7" spans="1:6" x14ac:dyDescent="0.2">
      <c r="A7" s="26" t="s">
        <v>44</v>
      </c>
    </row>
    <row r="8" spans="1:6" x14ac:dyDescent="0.2">
      <c r="A8" t="s">
        <v>34</v>
      </c>
      <c r="B8">
        <v>0.30733103449085453</v>
      </c>
      <c r="E8" t="s">
        <v>36</v>
      </c>
      <c r="F8">
        <v>3169.3526200548181</v>
      </c>
    </row>
    <row r="9" spans="1:6" x14ac:dyDescent="0.2">
      <c r="A9" t="s">
        <v>35</v>
      </c>
      <c r="B9">
        <v>225235</v>
      </c>
      <c r="E9" t="s">
        <v>37</v>
      </c>
      <c r="F9">
        <v>-5581873.3042998184</v>
      </c>
    </row>
    <row r="11" spans="1:6" x14ac:dyDescent="0.2">
      <c r="A11" s="327" t="s">
        <v>69</v>
      </c>
    </row>
    <row r="12" spans="1:6" x14ac:dyDescent="0.2">
      <c r="A12" t="s">
        <v>34</v>
      </c>
      <c r="B12">
        <v>0.30758641736639059</v>
      </c>
      <c r="E12" t="s">
        <v>36</v>
      </c>
      <c r="F12">
        <v>721.35354108590525</v>
      </c>
    </row>
    <row r="13" spans="1:6" x14ac:dyDescent="0.2">
      <c r="A13" t="s">
        <v>35</v>
      </c>
      <c r="B13">
        <v>6423</v>
      </c>
      <c r="E13" t="s">
        <v>37</v>
      </c>
      <c r="F13">
        <v>-3537.3387944846631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9"/>
  <sheetViews>
    <sheetView workbookViewId="0"/>
  </sheetViews>
  <sheetFormatPr baseColWidth="10" defaultColWidth="8.83203125" defaultRowHeight="15" x14ac:dyDescent="0.2"/>
  <cols>
    <col min="1" max="1" width="35.1640625" customWidth="1"/>
  </cols>
  <sheetData>
    <row r="1" spans="1:30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29</v>
      </c>
      <c r="Y1" t="s">
        <v>30</v>
      </c>
      <c r="Z1" t="s">
        <v>31</v>
      </c>
      <c r="AA1" t="s">
        <v>95</v>
      </c>
      <c r="AB1" t="s">
        <v>96</v>
      </c>
      <c r="AC1" t="s">
        <v>97</v>
      </c>
      <c r="AD1" t="s">
        <v>32</v>
      </c>
    </row>
    <row r="2" spans="1:30" x14ac:dyDescent="0.2">
      <c r="A2" t="s">
        <v>19</v>
      </c>
      <c r="B2">
        <v>-1.3450267340906949E-2</v>
      </c>
      <c r="C2">
        <v>7.4882146277239071E-4</v>
      </c>
      <c r="D2">
        <v>1.988317450091143E-4</v>
      </c>
      <c r="E2">
        <v>-6.080829268276819E-6</v>
      </c>
      <c r="F2">
        <v>-2.2630386970752187E-5</v>
      </c>
      <c r="G2">
        <v>2.4630811047996631E-4</v>
      </c>
      <c r="H2">
        <v>1.1751241928932167E-4</v>
      </c>
      <c r="I2">
        <v>1.1307216359281565E-4</v>
      </c>
      <c r="J2">
        <v>-2.4262099660445267E-4</v>
      </c>
      <c r="K2">
        <v>-1.4388810296356853E-4</v>
      </c>
      <c r="L2">
        <v>-1.1667989126795173E-4</v>
      </c>
      <c r="M2">
        <v>6.9992458359022236E-5</v>
      </c>
      <c r="N2">
        <v>4.1800448809545205E-5</v>
      </c>
      <c r="O2">
        <v>3.25352789757068E-5</v>
      </c>
      <c r="P2">
        <v>2.4765096317409585E-5</v>
      </c>
      <c r="Q2">
        <v>2.8722298748620756E-4</v>
      </c>
      <c r="R2">
        <v>-1.1172609269062442E-7</v>
      </c>
      <c r="S2">
        <v>1.1985221543239538E-5</v>
      </c>
      <c r="T2">
        <v>3.5983685826674779E-5</v>
      </c>
      <c r="U2">
        <v>4.1019799813449148E-5</v>
      </c>
      <c r="V2">
        <v>1.2075529687148107E-4</v>
      </c>
      <c r="W2">
        <v>7.0332476489905695E-5</v>
      </c>
      <c r="X2">
        <v>1.0523831045531457E-5</v>
      </c>
      <c r="Y2">
        <v>-1.7178989814293914E-5</v>
      </c>
      <c r="Z2">
        <v>-1.6892620356278351E-5</v>
      </c>
      <c r="AA2">
        <v>-4.8694360684343264E-5</v>
      </c>
      <c r="AB2">
        <v>7.4015816498484508E-5</v>
      </c>
      <c r="AC2">
        <v>4.5068847409863262E-4</v>
      </c>
      <c r="AD2">
        <v>-2.2265493552765967E-3</v>
      </c>
    </row>
    <row r="3" spans="1:30" x14ac:dyDescent="0.2">
      <c r="A3" t="s">
        <v>20</v>
      </c>
      <c r="B3">
        <v>-1.1878095565684612</v>
      </c>
      <c r="C3">
        <v>1.988317450091143E-4</v>
      </c>
      <c r="D3">
        <v>8.2922525029369698E-3</v>
      </c>
      <c r="E3">
        <v>-2.0490720430612892E-4</v>
      </c>
      <c r="F3">
        <v>-2.6702461243953077E-4</v>
      </c>
      <c r="G3">
        <v>1.004154648159377E-3</v>
      </c>
      <c r="H3">
        <v>1.2185705025813398E-3</v>
      </c>
      <c r="I3">
        <v>5.4071932114450882E-4</v>
      </c>
      <c r="J3">
        <v>-3.3497005661032447E-4</v>
      </c>
      <c r="K3">
        <v>1.4508695770824105E-3</v>
      </c>
      <c r="L3">
        <v>1.1547460012840795E-3</v>
      </c>
      <c r="M3">
        <v>-1.5670448272357695E-4</v>
      </c>
      <c r="N3">
        <v>-5.5626666950050335E-4</v>
      </c>
      <c r="O3">
        <v>-6.6402617128615699E-4</v>
      </c>
      <c r="P3">
        <v>-7.8639849310120115E-4</v>
      </c>
      <c r="Q3">
        <v>-3.4195253867601166E-3</v>
      </c>
      <c r="R3">
        <v>-4.1804159841284105E-4</v>
      </c>
      <c r="S3">
        <v>-5.7259355999668849E-4</v>
      </c>
      <c r="T3">
        <v>-5.2946466380973754E-4</v>
      </c>
      <c r="U3">
        <v>-7.4130277732964802E-4</v>
      </c>
      <c r="V3">
        <v>-2.4903477094282735E-4</v>
      </c>
      <c r="W3">
        <v>-9.0161600092407944E-4</v>
      </c>
      <c r="X3">
        <v>-1.1664901144912976E-4</v>
      </c>
      <c r="Y3">
        <v>6.2169815174933571E-4</v>
      </c>
      <c r="Z3">
        <v>8.3396681225648278E-4</v>
      </c>
      <c r="AA3">
        <v>2.1932123329348845E-4</v>
      </c>
      <c r="AB3">
        <v>1.3127970346546794E-4</v>
      </c>
      <c r="AC3">
        <v>-4.8710971082833454E-3</v>
      </c>
      <c r="AD3">
        <v>-8.0709593918225186E-2</v>
      </c>
    </row>
    <row r="4" spans="1:30" x14ac:dyDescent="0.2">
      <c r="A4" t="s">
        <v>21</v>
      </c>
      <c r="B4">
        <v>2.4709215410986383E-2</v>
      </c>
      <c r="C4">
        <v>-6.080829268276819E-6</v>
      </c>
      <c r="D4">
        <v>-2.0490720430612892E-4</v>
      </c>
      <c r="E4">
        <v>5.105409852663824E-6</v>
      </c>
      <c r="F4">
        <v>8.7764806182299732E-6</v>
      </c>
      <c r="G4">
        <v>-2.6662489890403928E-5</v>
      </c>
      <c r="H4">
        <v>-3.0064560409964069E-5</v>
      </c>
      <c r="I4">
        <v>-1.3033552181057628E-5</v>
      </c>
      <c r="J4">
        <v>1.5253603275706745E-5</v>
      </c>
      <c r="K4">
        <v>-3.0183286662020211E-5</v>
      </c>
      <c r="L4">
        <v>-2.3049929607870318E-5</v>
      </c>
      <c r="M4">
        <v>5.4307615980697731E-6</v>
      </c>
      <c r="N4">
        <v>1.4578307539823369E-5</v>
      </c>
      <c r="O4">
        <v>1.7576396017815385E-5</v>
      </c>
      <c r="P4">
        <v>2.0445694759218836E-5</v>
      </c>
      <c r="Q4">
        <v>8.5051662588635484E-5</v>
      </c>
      <c r="R4">
        <v>1.112172604223762E-5</v>
      </c>
      <c r="S4">
        <v>1.4781329390168983E-5</v>
      </c>
      <c r="T4">
        <v>1.3831264349778013E-5</v>
      </c>
      <c r="U4">
        <v>1.9043531674268644E-5</v>
      </c>
      <c r="V4">
        <v>6.4012248909008052E-6</v>
      </c>
      <c r="W4">
        <v>2.2677044974068713E-5</v>
      </c>
      <c r="X4">
        <v>2.9146758317647305E-6</v>
      </c>
      <c r="Y4">
        <v>-1.5684506930394439E-5</v>
      </c>
      <c r="Z4">
        <v>-2.0873505732196167E-5</v>
      </c>
      <c r="AA4">
        <v>-4.5863203436231014E-6</v>
      </c>
      <c r="AB4">
        <v>-3.9738079143425745E-6</v>
      </c>
      <c r="AC4">
        <v>1.2000659517951437E-4</v>
      </c>
      <c r="AD4">
        <v>1.9747701773800697E-3</v>
      </c>
    </row>
    <row r="5" spans="1:30" x14ac:dyDescent="0.2">
      <c r="A5" t="s">
        <v>22</v>
      </c>
      <c r="B5">
        <v>0.32099295708930392</v>
      </c>
      <c r="C5">
        <v>-2.2630386970752187E-5</v>
      </c>
      <c r="D5">
        <v>-2.6702461243953077E-4</v>
      </c>
      <c r="E5">
        <v>8.7764806182299732E-6</v>
      </c>
      <c r="F5">
        <v>1.3921944729744808E-3</v>
      </c>
      <c r="G5">
        <v>6.3599899156641516E-5</v>
      </c>
      <c r="H5">
        <v>6.6234766829577406E-5</v>
      </c>
      <c r="I5">
        <v>4.0477602865269044E-5</v>
      </c>
      <c r="J5">
        <v>2.7179606670407627E-5</v>
      </c>
      <c r="K5">
        <v>-7.3058310527317433E-7</v>
      </c>
      <c r="L5">
        <v>8.8113933464017395E-6</v>
      </c>
      <c r="M5">
        <v>2.9379411939198333E-4</v>
      </c>
      <c r="N5">
        <v>1.3894614429699702E-4</v>
      </c>
      <c r="O5">
        <v>1.3778608981128705E-4</v>
      </c>
      <c r="P5">
        <v>1.5538066531874131E-4</v>
      </c>
      <c r="Q5">
        <v>3.7287005911263609E-4</v>
      </c>
      <c r="R5">
        <v>2.3347655734592141E-4</v>
      </c>
      <c r="S5">
        <v>1.6039697644305395E-4</v>
      </c>
      <c r="T5">
        <v>1.733217792753436E-4</v>
      </c>
      <c r="U5">
        <v>1.8591294892742852E-4</v>
      </c>
      <c r="V5">
        <v>2.3194974451110951E-4</v>
      </c>
      <c r="W5">
        <v>1.3036369904809709E-4</v>
      </c>
      <c r="X5">
        <v>3.3849538061177123E-5</v>
      </c>
      <c r="Y5">
        <v>-7.1747631212698202E-5</v>
      </c>
      <c r="Z5">
        <v>-9.5194835081588945E-5</v>
      </c>
      <c r="AA5">
        <v>1.8124216979582886E-5</v>
      </c>
      <c r="AB5">
        <v>4.018233722868881E-5</v>
      </c>
      <c r="AC5">
        <v>3.8860826710626585E-4</v>
      </c>
      <c r="AD5">
        <v>-7.9773937128599544E-5</v>
      </c>
    </row>
    <row r="6" spans="1:30" x14ac:dyDescent="0.2">
      <c r="A6" t="s">
        <v>23</v>
      </c>
      <c r="B6">
        <v>-0.26246412717191858</v>
      </c>
      <c r="C6">
        <v>2.4630811047996631E-4</v>
      </c>
      <c r="D6">
        <v>1.004154648159377E-3</v>
      </c>
      <c r="E6">
        <v>-2.6662489890403928E-5</v>
      </c>
      <c r="F6">
        <v>6.3599899156641516E-5</v>
      </c>
      <c r="G6">
        <v>1.5306513474067486E-3</v>
      </c>
      <c r="H6">
        <v>1.2020305890401242E-3</v>
      </c>
      <c r="I6">
        <v>2.6405406264498393E-4</v>
      </c>
      <c r="J6">
        <v>-6.5119705681266791E-4</v>
      </c>
      <c r="K6">
        <v>-1.6448699041611808E-4</v>
      </c>
      <c r="L6">
        <v>1.8250705336577363E-5</v>
      </c>
      <c r="M6">
        <v>-2.8684821602275971E-6</v>
      </c>
      <c r="N6">
        <v>-1.1590208051219465E-4</v>
      </c>
      <c r="O6">
        <v>-1.7615971003341651E-4</v>
      </c>
      <c r="P6">
        <v>-1.840629954550936E-4</v>
      </c>
      <c r="Q6">
        <v>-2.7700732922896973E-4</v>
      </c>
      <c r="R6">
        <v>-1.7546188326526531E-4</v>
      </c>
      <c r="S6">
        <v>-1.0558531793127468E-4</v>
      </c>
      <c r="T6">
        <v>-6.4714557881411698E-5</v>
      </c>
      <c r="U6">
        <v>-1.9940524603671148E-4</v>
      </c>
      <c r="V6">
        <v>2.5335738968199539E-5</v>
      </c>
      <c r="W6">
        <v>-1.4476789003550381E-4</v>
      </c>
      <c r="X6">
        <v>7.6651063498947266E-6</v>
      </c>
      <c r="Y6">
        <v>3.4480917947493335E-5</v>
      </c>
      <c r="Z6">
        <v>8.1103168155810144E-5</v>
      </c>
      <c r="AA6">
        <v>-3.998443525667501E-5</v>
      </c>
      <c r="AB6">
        <v>1.4124012295486433E-4</v>
      </c>
      <c r="AC6">
        <v>-1.0772719296445014E-4</v>
      </c>
      <c r="AD6">
        <v>-1.0545753980339682E-2</v>
      </c>
    </row>
    <row r="7" spans="1:30" x14ac:dyDescent="0.2">
      <c r="A7" t="s">
        <v>24</v>
      </c>
      <c r="B7">
        <v>-0.42167057306730849</v>
      </c>
      <c r="C7">
        <v>1.1751241928932167E-4</v>
      </c>
      <c r="D7">
        <v>1.2185705025813398E-3</v>
      </c>
      <c r="E7">
        <v>-3.0064560409964069E-5</v>
      </c>
      <c r="F7">
        <v>6.6234766829577406E-5</v>
      </c>
      <c r="G7">
        <v>1.2020305890401242E-3</v>
      </c>
      <c r="H7">
        <v>2.1998988264580015E-3</v>
      </c>
      <c r="I7">
        <v>2.6464784662175557E-4</v>
      </c>
      <c r="J7">
        <v>-3.4352965066129868E-4</v>
      </c>
      <c r="K7">
        <v>1.3060513790678799E-4</v>
      </c>
      <c r="L7">
        <v>3.9836436431569481E-4</v>
      </c>
      <c r="M7">
        <v>5.4305502582101088E-5</v>
      </c>
      <c r="N7">
        <v>-6.3730793825245895E-5</v>
      </c>
      <c r="O7">
        <v>-2.4545866750442396E-4</v>
      </c>
      <c r="P7">
        <v>-2.5154895231612763E-4</v>
      </c>
      <c r="Q7">
        <v>-6.1366536783809787E-4</v>
      </c>
      <c r="R7">
        <v>-2.2947174534283061E-4</v>
      </c>
      <c r="S7">
        <v>-1.1203363466957979E-4</v>
      </c>
      <c r="T7">
        <v>-7.5165106058399343E-5</v>
      </c>
      <c r="U7">
        <v>-2.8497768339563279E-4</v>
      </c>
      <c r="V7">
        <v>-3.551530270442106E-6</v>
      </c>
      <c r="W7">
        <v>-3.4335487985998124E-4</v>
      </c>
      <c r="X7">
        <v>9.5205732427816429E-6</v>
      </c>
      <c r="Y7">
        <v>7.4593468318693689E-5</v>
      </c>
      <c r="Z7">
        <v>1.1560221715464E-4</v>
      </c>
      <c r="AA7">
        <v>-1.7922662571683251E-4</v>
      </c>
      <c r="AB7">
        <v>4.1752556163805049E-5</v>
      </c>
      <c r="AC7">
        <v>-7.2096375657014142E-4</v>
      </c>
      <c r="AD7">
        <v>-1.3393321732203811E-2</v>
      </c>
    </row>
    <row r="8" spans="1:30" x14ac:dyDescent="0.2">
      <c r="A8" t="s">
        <v>25</v>
      </c>
      <c r="B8">
        <v>-7.6391105404252244E-2</v>
      </c>
      <c r="C8">
        <v>1.1307216359281565E-4</v>
      </c>
      <c r="D8">
        <v>5.4071932114450882E-4</v>
      </c>
      <c r="E8">
        <v>-1.3033552181057628E-5</v>
      </c>
      <c r="F8">
        <v>4.0477602865269044E-5</v>
      </c>
      <c r="G8">
        <v>2.6405406264498393E-4</v>
      </c>
      <c r="H8">
        <v>2.6464784662175557E-4</v>
      </c>
      <c r="I8">
        <v>1.6683441877279313E-3</v>
      </c>
      <c r="J8">
        <v>3.2763873267846163E-4</v>
      </c>
      <c r="K8">
        <v>5.3601792934455418E-4</v>
      </c>
      <c r="L8">
        <v>5.6365944177634163E-4</v>
      </c>
      <c r="M8">
        <v>4.7965978689839791E-4</v>
      </c>
      <c r="N8">
        <v>9.5451116172567529E-5</v>
      </c>
      <c r="O8">
        <v>-6.9903622960357952E-6</v>
      </c>
      <c r="P8">
        <v>5.0935569198850813E-5</v>
      </c>
      <c r="Q8">
        <v>3.1001779549875638E-4</v>
      </c>
      <c r="R8">
        <v>-3.4685519359305139E-6</v>
      </c>
      <c r="S8">
        <v>8.6846804898764191E-5</v>
      </c>
      <c r="T8">
        <v>1.652193628061898E-5</v>
      </c>
      <c r="U8">
        <v>7.8963806441573658E-5</v>
      </c>
      <c r="V8">
        <v>1.2505090391432558E-4</v>
      </c>
      <c r="W8">
        <v>1.1190051494246048E-4</v>
      </c>
      <c r="X8">
        <v>3.0927037115813715E-5</v>
      </c>
      <c r="Y8">
        <v>-1.1683992310657348E-4</v>
      </c>
      <c r="Z8">
        <v>-1.2083358709309147E-4</v>
      </c>
      <c r="AA8">
        <v>1.9209076984261643E-4</v>
      </c>
      <c r="AB8">
        <v>1.183688205187224E-4</v>
      </c>
      <c r="AC8">
        <v>5.4508383753806497E-4</v>
      </c>
      <c r="AD8">
        <v>-6.8764092454582787E-3</v>
      </c>
    </row>
    <row r="9" spans="1:30" x14ac:dyDescent="0.2">
      <c r="A9" t="s">
        <v>26</v>
      </c>
      <c r="B9">
        <v>-0.39833595279459455</v>
      </c>
      <c r="C9">
        <v>-2.4262099660445267E-4</v>
      </c>
      <c r="D9">
        <v>-3.3497005661032447E-4</v>
      </c>
      <c r="E9">
        <v>1.5253603275706745E-5</v>
      </c>
      <c r="F9">
        <v>2.7179606670407627E-5</v>
      </c>
      <c r="G9">
        <v>-6.5119705681266791E-4</v>
      </c>
      <c r="H9">
        <v>-3.4352965066129868E-4</v>
      </c>
      <c r="I9">
        <v>3.2763873267846163E-4</v>
      </c>
      <c r="J9">
        <v>3.0524760467446552E-3</v>
      </c>
      <c r="K9">
        <v>1.3489939836368516E-3</v>
      </c>
      <c r="L9">
        <v>1.2915913075275008E-3</v>
      </c>
      <c r="M9">
        <v>2.1664606788593388E-4</v>
      </c>
      <c r="N9">
        <v>1.7401513970652632E-4</v>
      </c>
      <c r="O9">
        <v>2.5261418592520467E-4</v>
      </c>
      <c r="P9">
        <v>2.1329695683873322E-4</v>
      </c>
      <c r="Q9">
        <v>5.4051808555254793E-4</v>
      </c>
      <c r="R9">
        <v>1.2314392022080758E-4</v>
      </c>
      <c r="S9">
        <v>1.7756323160304831E-4</v>
      </c>
      <c r="T9">
        <v>1.2946508456744966E-4</v>
      </c>
      <c r="U9">
        <v>1.6219013659851548E-4</v>
      </c>
      <c r="V9">
        <v>8.5529316602709748E-5</v>
      </c>
      <c r="W9">
        <v>2.2375137073427304E-4</v>
      </c>
      <c r="X9">
        <v>2.331033814922728E-5</v>
      </c>
      <c r="Y9">
        <v>-1.2998299185978252E-4</v>
      </c>
      <c r="Z9">
        <v>-9.8802579107468841E-5</v>
      </c>
      <c r="AA9">
        <v>2.2043579596078052E-4</v>
      </c>
      <c r="AB9">
        <v>7.1117010771308206E-5</v>
      </c>
      <c r="AC9">
        <v>7.7676453122030309E-4</v>
      </c>
      <c r="AD9">
        <v>-1.8225812399710883E-4</v>
      </c>
    </row>
    <row r="10" spans="1:30" x14ac:dyDescent="0.2">
      <c r="A10" t="s">
        <v>27</v>
      </c>
      <c r="B10">
        <v>-0.34339504313304481</v>
      </c>
      <c r="C10">
        <v>-1.4388810296356853E-4</v>
      </c>
      <c r="D10">
        <v>1.4508695770824105E-3</v>
      </c>
      <c r="E10">
        <v>-3.0183286662020211E-5</v>
      </c>
      <c r="F10">
        <v>-7.3058310527317433E-7</v>
      </c>
      <c r="G10">
        <v>-1.6448699041611808E-4</v>
      </c>
      <c r="H10">
        <v>1.3060513790678799E-4</v>
      </c>
      <c r="I10">
        <v>5.3601792934455418E-4</v>
      </c>
      <c r="J10">
        <v>1.3489939836368516E-3</v>
      </c>
      <c r="K10">
        <v>2.6092094513090573E-3</v>
      </c>
      <c r="L10">
        <v>1.371901745516818E-3</v>
      </c>
      <c r="M10">
        <v>1.2528862535527568E-4</v>
      </c>
      <c r="N10">
        <v>-6.4447389577762006E-5</v>
      </c>
      <c r="O10">
        <v>2.1924801813919068E-5</v>
      </c>
      <c r="P10">
        <v>-1.1344620015093067E-4</v>
      </c>
      <c r="Q10">
        <v>-5.7417155401325026E-4</v>
      </c>
      <c r="R10">
        <v>-7.4974141036944497E-6</v>
      </c>
      <c r="S10">
        <v>-7.3720507367403942E-5</v>
      </c>
      <c r="T10">
        <v>-1.9708813874004245E-4</v>
      </c>
      <c r="U10">
        <v>-8.3924010726868915E-5</v>
      </c>
      <c r="V10">
        <v>-9.3580766697609272E-5</v>
      </c>
      <c r="W10">
        <v>-8.1171890784392103E-5</v>
      </c>
      <c r="X10">
        <v>-3.4886106032739478E-6</v>
      </c>
      <c r="Y10">
        <v>-2.5904905366172862E-5</v>
      </c>
      <c r="Z10">
        <v>-1.1188518788387766E-5</v>
      </c>
      <c r="AA10">
        <v>2.8762537659132639E-4</v>
      </c>
      <c r="AB10">
        <v>5.3221582432151117E-5</v>
      </c>
      <c r="AC10">
        <v>-8.0661434856768577E-4</v>
      </c>
      <c r="AD10">
        <v>-1.7054686771951322E-2</v>
      </c>
    </row>
    <row r="11" spans="1:30" x14ac:dyDescent="0.2">
      <c r="A11" t="s">
        <v>28</v>
      </c>
      <c r="B11">
        <v>-0.41007982045857866</v>
      </c>
      <c r="C11">
        <v>-1.1667989126795173E-4</v>
      </c>
      <c r="D11">
        <v>1.1547460012840795E-3</v>
      </c>
      <c r="E11">
        <v>-2.3049929607870318E-5</v>
      </c>
      <c r="F11">
        <v>8.8113933464017395E-6</v>
      </c>
      <c r="G11">
        <v>1.8250705336577363E-5</v>
      </c>
      <c r="H11">
        <v>3.9836436431569481E-4</v>
      </c>
      <c r="I11">
        <v>5.6365944177634163E-4</v>
      </c>
      <c r="J11">
        <v>1.2915913075275008E-3</v>
      </c>
      <c r="K11">
        <v>1.371901745516818E-3</v>
      </c>
      <c r="L11">
        <v>2.3836088407401838E-3</v>
      </c>
      <c r="M11">
        <v>3.0028063021932637E-4</v>
      </c>
      <c r="N11">
        <v>4.3439034558403165E-5</v>
      </c>
      <c r="O11">
        <v>8.7988770363760845E-5</v>
      </c>
      <c r="P11">
        <v>7.3254201312013961E-5</v>
      </c>
      <c r="Q11">
        <v>-3.2040202098525261E-4</v>
      </c>
      <c r="R11">
        <v>-6.9031308071005118E-5</v>
      </c>
      <c r="S11">
        <v>-6.0481050818059212E-6</v>
      </c>
      <c r="T11">
        <v>9.5202112196785243E-6</v>
      </c>
      <c r="U11">
        <v>7.011705708095809E-5</v>
      </c>
      <c r="V11">
        <v>7.1359879405814668E-6</v>
      </c>
      <c r="W11">
        <v>7.2547013290834642E-5</v>
      </c>
      <c r="X11">
        <v>-8.0013061899250788E-6</v>
      </c>
      <c r="Y11">
        <v>5.025299806896491E-5</v>
      </c>
      <c r="Z11">
        <v>8.3623727144483198E-5</v>
      </c>
      <c r="AA11">
        <v>3.5553502780538964E-4</v>
      </c>
      <c r="AB11">
        <v>2.1007066061080795E-4</v>
      </c>
      <c r="AC11">
        <v>-5.8573292207719091E-4</v>
      </c>
      <c r="AD11">
        <v>-1.4262865411126813E-2</v>
      </c>
    </row>
    <row r="12" spans="1:30" x14ac:dyDescent="0.2">
      <c r="A12" t="s">
        <v>82</v>
      </c>
      <c r="B12">
        <v>7.0957692167225209E-2</v>
      </c>
      <c r="C12">
        <v>6.9992458359022236E-5</v>
      </c>
      <c r="D12">
        <v>-1.5670448272357695E-4</v>
      </c>
      <c r="E12">
        <v>5.4307615980697731E-6</v>
      </c>
      <c r="F12">
        <v>2.9379411939198333E-4</v>
      </c>
      <c r="G12">
        <v>-2.8684821602275971E-6</v>
      </c>
      <c r="H12">
        <v>5.4305502582101088E-5</v>
      </c>
      <c r="I12">
        <v>4.7965978689839791E-4</v>
      </c>
      <c r="J12">
        <v>2.1664606788593388E-4</v>
      </c>
      <c r="K12">
        <v>1.2528862535527568E-4</v>
      </c>
      <c r="L12">
        <v>3.0028063021932637E-4</v>
      </c>
      <c r="M12">
        <v>7.2150569414413676E-3</v>
      </c>
      <c r="N12">
        <v>2.1434566593223725E-3</v>
      </c>
      <c r="O12">
        <v>2.1620851374872705E-3</v>
      </c>
      <c r="P12">
        <v>2.1925158893776981E-3</v>
      </c>
      <c r="Q12">
        <v>2.5793829678279036E-3</v>
      </c>
      <c r="R12">
        <v>2.1762339588297132E-3</v>
      </c>
      <c r="S12">
        <v>2.2129250441889443E-3</v>
      </c>
      <c r="T12">
        <v>2.2881413471379508E-3</v>
      </c>
      <c r="U12">
        <v>2.3403682294445187E-3</v>
      </c>
      <c r="V12">
        <v>2.2898311521255235E-3</v>
      </c>
      <c r="W12">
        <v>2.3585833900705731E-3</v>
      </c>
      <c r="X12">
        <v>4.7241228115074197E-5</v>
      </c>
      <c r="Y12">
        <v>-2.0086988198094249E-4</v>
      </c>
      <c r="Z12">
        <v>-3.7647882353270619E-4</v>
      </c>
      <c r="AA12">
        <v>1.4516339437434414E-3</v>
      </c>
      <c r="AB12">
        <v>1.5266320102615295E-3</v>
      </c>
      <c r="AC12">
        <v>1.6027372185138545E-3</v>
      </c>
      <c r="AD12">
        <v>-2.631212514646708E-3</v>
      </c>
    </row>
    <row r="13" spans="1:30" x14ac:dyDescent="0.2">
      <c r="A13" t="s">
        <v>83</v>
      </c>
      <c r="B13">
        <v>2.2964925219422689E-2</v>
      </c>
      <c r="C13">
        <v>4.1800448809545205E-5</v>
      </c>
      <c r="D13">
        <v>-5.5626666950050335E-4</v>
      </c>
      <c r="E13">
        <v>1.4578307539823369E-5</v>
      </c>
      <c r="F13">
        <v>1.3894614429699702E-4</v>
      </c>
      <c r="G13">
        <v>-1.1590208051219465E-4</v>
      </c>
      <c r="H13">
        <v>-6.3730793825245895E-5</v>
      </c>
      <c r="I13">
        <v>9.5451116172567529E-5</v>
      </c>
      <c r="J13">
        <v>1.7401513970652632E-4</v>
      </c>
      <c r="K13">
        <v>-6.4447389577762006E-5</v>
      </c>
      <c r="L13">
        <v>4.3439034558403165E-5</v>
      </c>
      <c r="M13">
        <v>2.1434566593223725E-3</v>
      </c>
      <c r="N13">
        <v>3.6742388500085469E-3</v>
      </c>
      <c r="O13">
        <v>2.0721950847413535E-3</v>
      </c>
      <c r="P13">
        <v>2.0731298718777561E-3</v>
      </c>
      <c r="Q13">
        <v>2.5268261378048559E-3</v>
      </c>
      <c r="R13">
        <v>2.0403370927985567E-3</v>
      </c>
      <c r="S13">
        <v>2.0766635616723153E-3</v>
      </c>
      <c r="T13">
        <v>2.1265356927110445E-3</v>
      </c>
      <c r="U13">
        <v>2.1637010699198829E-3</v>
      </c>
      <c r="V13">
        <v>2.1111610988098013E-3</v>
      </c>
      <c r="W13">
        <v>2.181938511057534E-3</v>
      </c>
      <c r="X13">
        <v>2.6687706693063616E-5</v>
      </c>
      <c r="Y13">
        <v>-2.0297102170679059E-4</v>
      </c>
      <c r="Z13">
        <v>-2.8830311939121627E-4</v>
      </c>
      <c r="AA13">
        <v>5.2664655714360217E-4</v>
      </c>
      <c r="AB13">
        <v>1.3522020189952388E-3</v>
      </c>
      <c r="AC13">
        <v>1.6190327136845761E-3</v>
      </c>
      <c r="AD13">
        <v>2.4985011617308997E-3</v>
      </c>
    </row>
    <row r="14" spans="1:30" x14ac:dyDescent="0.2">
      <c r="A14" t="s">
        <v>84</v>
      </c>
      <c r="B14">
        <v>3.7815327186965099E-2</v>
      </c>
      <c r="C14">
        <v>3.25352789757068E-5</v>
      </c>
      <c r="D14">
        <v>-6.6402617128615699E-4</v>
      </c>
      <c r="E14">
        <v>1.7576396017815385E-5</v>
      </c>
      <c r="F14">
        <v>1.3778608981128705E-4</v>
      </c>
      <c r="G14">
        <v>-1.7615971003341651E-4</v>
      </c>
      <c r="H14">
        <v>-2.4545866750442396E-4</v>
      </c>
      <c r="I14">
        <v>-6.9903622960357952E-6</v>
      </c>
      <c r="J14">
        <v>2.5261418592520467E-4</v>
      </c>
      <c r="K14">
        <v>2.1924801813919068E-5</v>
      </c>
      <c r="L14">
        <v>8.7988770363760845E-5</v>
      </c>
      <c r="M14">
        <v>2.1620851374872705E-3</v>
      </c>
      <c r="N14">
        <v>2.0721950847413535E-3</v>
      </c>
      <c r="O14">
        <v>3.6725448782203053E-3</v>
      </c>
      <c r="P14">
        <v>2.0696075931252098E-3</v>
      </c>
      <c r="Q14">
        <v>2.6099200042616344E-3</v>
      </c>
      <c r="R14">
        <v>2.0352455214262674E-3</v>
      </c>
      <c r="S14">
        <v>2.0607450564145624E-3</v>
      </c>
      <c r="T14">
        <v>2.102796242170499E-3</v>
      </c>
      <c r="U14">
        <v>2.1482100929049426E-3</v>
      </c>
      <c r="V14">
        <v>2.0819190463828578E-3</v>
      </c>
      <c r="W14">
        <v>2.1746043145163393E-3</v>
      </c>
      <c r="X14">
        <v>1.8315366612699647E-5</v>
      </c>
      <c r="Y14">
        <v>-2.227818682762736E-4</v>
      </c>
      <c r="Z14">
        <v>-2.9560833672258552E-4</v>
      </c>
      <c r="AA14">
        <v>4.8048016744748972E-4</v>
      </c>
      <c r="AB14">
        <v>1.3172052499586685E-3</v>
      </c>
      <c r="AC14">
        <v>1.6310227742838143E-3</v>
      </c>
      <c r="AD14">
        <v>3.6756270250617867E-3</v>
      </c>
    </row>
    <row r="15" spans="1:30" x14ac:dyDescent="0.2">
      <c r="A15" t="s">
        <v>85</v>
      </c>
      <c r="B15">
        <v>4.7063542139196363E-2</v>
      </c>
      <c r="C15">
        <v>2.4765096317409585E-5</v>
      </c>
      <c r="D15">
        <v>-7.8639849310120115E-4</v>
      </c>
      <c r="E15">
        <v>2.0445694759218836E-5</v>
      </c>
      <c r="F15">
        <v>1.5538066531874131E-4</v>
      </c>
      <c r="G15">
        <v>-1.840629954550936E-4</v>
      </c>
      <c r="H15">
        <v>-2.5154895231612763E-4</v>
      </c>
      <c r="I15">
        <v>5.0935569198850813E-5</v>
      </c>
      <c r="J15">
        <v>2.1329695683873322E-4</v>
      </c>
      <c r="K15">
        <v>-1.1344620015093067E-4</v>
      </c>
      <c r="L15">
        <v>7.3254201312013961E-5</v>
      </c>
      <c r="M15">
        <v>2.1925158893776981E-3</v>
      </c>
      <c r="N15">
        <v>2.0731298718777561E-3</v>
      </c>
      <c r="O15">
        <v>2.0696075931252098E-3</v>
      </c>
      <c r="P15">
        <v>4.0062336749222436E-3</v>
      </c>
      <c r="Q15">
        <v>2.607411554316159E-3</v>
      </c>
      <c r="R15">
        <v>2.0371257803912745E-3</v>
      </c>
      <c r="S15">
        <v>2.0701816787805347E-3</v>
      </c>
      <c r="T15">
        <v>2.1157108558638176E-3</v>
      </c>
      <c r="U15">
        <v>2.1644490733089918E-3</v>
      </c>
      <c r="V15">
        <v>2.0903811917865763E-3</v>
      </c>
      <c r="W15">
        <v>2.1878432572481829E-3</v>
      </c>
      <c r="X15">
        <v>2.4510533888589148E-5</v>
      </c>
      <c r="Y15">
        <v>-1.839293540113428E-4</v>
      </c>
      <c r="Z15">
        <v>-2.4472410378506386E-4</v>
      </c>
      <c r="AA15">
        <v>5.8459812116302533E-4</v>
      </c>
      <c r="AB15">
        <v>1.2954183720342476E-3</v>
      </c>
      <c r="AC15">
        <v>1.5872571225365832E-3</v>
      </c>
      <c r="AD15">
        <v>4.8357356110148436E-3</v>
      </c>
    </row>
    <row r="16" spans="1:30" x14ac:dyDescent="0.2">
      <c r="A16" t="s">
        <v>86</v>
      </c>
      <c r="B16">
        <v>1.1086071904263139E-2</v>
      </c>
      <c r="C16">
        <v>2.8722298748620756E-4</v>
      </c>
      <c r="D16">
        <v>-3.4195253867601166E-3</v>
      </c>
      <c r="E16">
        <v>8.5051662588635484E-5</v>
      </c>
      <c r="F16">
        <v>3.7287005911263609E-4</v>
      </c>
      <c r="G16">
        <v>-2.7700732922896973E-4</v>
      </c>
      <c r="H16">
        <v>-6.1366536783809787E-4</v>
      </c>
      <c r="I16">
        <v>3.1001779549875638E-4</v>
      </c>
      <c r="J16">
        <v>5.4051808555254793E-4</v>
      </c>
      <c r="K16">
        <v>-5.7417155401325026E-4</v>
      </c>
      <c r="L16">
        <v>-3.2040202098525261E-4</v>
      </c>
      <c r="M16">
        <v>2.5793829678279036E-3</v>
      </c>
      <c r="N16">
        <v>2.5268261378048559E-3</v>
      </c>
      <c r="O16">
        <v>2.6099200042616344E-3</v>
      </c>
      <c r="P16">
        <v>2.607411554316159E-3</v>
      </c>
      <c r="Q16">
        <v>7.4027429124482406E-3</v>
      </c>
      <c r="R16">
        <v>2.4029244220553836E-3</v>
      </c>
      <c r="S16">
        <v>2.4740506993804604E-3</v>
      </c>
      <c r="T16">
        <v>2.6165937372306107E-3</v>
      </c>
      <c r="U16">
        <v>2.7760974904565581E-3</v>
      </c>
      <c r="V16">
        <v>2.5499556806180771E-3</v>
      </c>
      <c r="W16">
        <v>2.8382070201386565E-3</v>
      </c>
      <c r="X16">
        <v>1.4004396988403741E-4</v>
      </c>
      <c r="Y16">
        <v>-7.1658328097774305E-4</v>
      </c>
      <c r="Z16">
        <v>-9.7691138965518443E-4</v>
      </c>
      <c r="AA16">
        <v>3.6904705850057315E-4</v>
      </c>
      <c r="AB16">
        <v>1.5606947077435843E-3</v>
      </c>
      <c r="AC16">
        <v>5.9321049697197807E-3</v>
      </c>
      <c r="AD16">
        <v>2.8458489134772606E-2</v>
      </c>
    </row>
    <row r="17" spans="1:30" x14ac:dyDescent="0.2">
      <c r="A17" t="s">
        <v>87</v>
      </c>
      <c r="B17">
        <v>1.8028408381589762E-2</v>
      </c>
      <c r="C17">
        <v>-1.1172609269062442E-7</v>
      </c>
      <c r="D17">
        <v>-4.1804159841284105E-4</v>
      </c>
      <c r="E17">
        <v>1.112172604223762E-5</v>
      </c>
      <c r="F17">
        <v>2.3347655734592141E-4</v>
      </c>
      <c r="G17">
        <v>-1.7546188326526531E-4</v>
      </c>
      <c r="H17">
        <v>-2.2947174534283061E-4</v>
      </c>
      <c r="I17">
        <v>-3.4685519359305139E-6</v>
      </c>
      <c r="J17">
        <v>1.2314392022080758E-4</v>
      </c>
      <c r="K17">
        <v>-7.4974141036944497E-6</v>
      </c>
      <c r="L17">
        <v>-6.9031308071005118E-5</v>
      </c>
      <c r="M17">
        <v>2.1762339588297132E-3</v>
      </c>
      <c r="N17">
        <v>2.0403370927985567E-3</v>
      </c>
      <c r="O17">
        <v>2.0352455214262674E-3</v>
      </c>
      <c r="P17">
        <v>2.0371257803912745E-3</v>
      </c>
      <c r="Q17">
        <v>2.4029244220553836E-3</v>
      </c>
      <c r="R17">
        <v>3.881776256430618E-3</v>
      </c>
      <c r="S17">
        <v>2.0466791604574633E-3</v>
      </c>
      <c r="T17">
        <v>2.0787821408163256E-3</v>
      </c>
      <c r="U17">
        <v>2.1250494997911216E-3</v>
      </c>
      <c r="V17">
        <v>2.0746008375344622E-3</v>
      </c>
      <c r="W17">
        <v>2.1361793937347286E-3</v>
      </c>
      <c r="X17">
        <v>2.5458882233374963E-5</v>
      </c>
      <c r="Y17">
        <v>-2.2633414664906303E-4</v>
      </c>
      <c r="Z17">
        <v>-3.0326266400819879E-4</v>
      </c>
      <c r="AA17">
        <v>5.650549596379964E-4</v>
      </c>
      <c r="AB17">
        <v>1.2618327104730344E-3</v>
      </c>
      <c r="AC17">
        <v>1.2860293434102587E-3</v>
      </c>
      <c r="AD17">
        <v>1.2599835548748918E-3</v>
      </c>
    </row>
    <row r="18" spans="1:30" x14ac:dyDescent="0.2">
      <c r="A18" t="s">
        <v>88</v>
      </c>
      <c r="B18">
        <v>9.4493818897985415E-2</v>
      </c>
      <c r="C18">
        <v>1.1985221543239538E-5</v>
      </c>
      <c r="D18">
        <v>-5.7259355999668849E-4</v>
      </c>
      <c r="E18">
        <v>1.4781329390168983E-5</v>
      </c>
      <c r="F18">
        <v>1.6039697644305395E-4</v>
      </c>
      <c r="G18">
        <v>-1.0558531793127468E-4</v>
      </c>
      <c r="H18">
        <v>-1.1203363466957979E-4</v>
      </c>
      <c r="I18">
        <v>8.6846804898764191E-5</v>
      </c>
      <c r="J18">
        <v>1.7756323160304831E-4</v>
      </c>
      <c r="K18">
        <v>-7.3720507367403942E-5</v>
      </c>
      <c r="L18">
        <v>-6.0481050818059212E-6</v>
      </c>
      <c r="M18">
        <v>2.2129250441889443E-3</v>
      </c>
      <c r="N18">
        <v>2.0766635616723153E-3</v>
      </c>
      <c r="O18">
        <v>2.0607450564145624E-3</v>
      </c>
      <c r="P18">
        <v>2.0701816787805347E-3</v>
      </c>
      <c r="Q18">
        <v>2.4740506993804604E-3</v>
      </c>
      <c r="R18">
        <v>2.0466791604574633E-3</v>
      </c>
      <c r="S18">
        <v>3.2671071944619266E-3</v>
      </c>
      <c r="T18">
        <v>2.124595693768955E-3</v>
      </c>
      <c r="U18">
        <v>2.1610172003064692E-3</v>
      </c>
      <c r="V18">
        <v>2.1176224844198827E-3</v>
      </c>
      <c r="W18">
        <v>2.1863404210706425E-3</v>
      </c>
      <c r="X18">
        <v>2.1588758419323177E-5</v>
      </c>
      <c r="Y18">
        <v>-2.0221778497411889E-4</v>
      </c>
      <c r="Z18">
        <v>-2.7094354429965336E-4</v>
      </c>
      <c r="AA18">
        <v>6.4563704523933367E-4</v>
      </c>
      <c r="AB18">
        <v>1.3499395267180443E-3</v>
      </c>
      <c r="AC18">
        <v>1.5037547888969291E-3</v>
      </c>
      <c r="AD18">
        <v>2.8317450529406693E-3</v>
      </c>
    </row>
    <row r="19" spans="1:30" x14ac:dyDescent="0.2">
      <c r="A19" t="s">
        <v>89</v>
      </c>
      <c r="B19">
        <v>-5.3733639674481491E-2</v>
      </c>
      <c r="C19">
        <v>3.5983685826674779E-5</v>
      </c>
      <c r="D19">
        <v>-5.2946466380973754E-4</v>
      </c>
      <c r="E19">
        <v>1.3831264349778013E-5</v>
      </c>
      <c r="F19">
        <v>1.733217792753436E-4</v>
      </c>
      <c r="G19">
        <v>-6.4714557881411698E-5</v>
      </c>
      <c r="H19">
        <v>-7.5165106058399343E-5</v>
      </c>
      <c r="I19">
        <v>1.652193628061898E-5</v>
      </c>
      <c r="J19">
        <v>1.2946508456744966E-4</v>
      </c>
      <c r="K19">
        <v>-1.9708813874004245E-4</v>
      </c>
      <c r="L19">
        <v>9.5202112196785243E-6</v>
      </c>
      <c r="M19">
        <v>2.2881413471379508E-3</v>
      </c>
      <c r="N19">
        <v>2.1265356927110445E-3</v>
      </c>
      <c r="O19">
        <v>2.102796242170499E-3</v>
      </c>
      <c r="P19">
        <v>2.1157108558638176E-3</v>
      </c>
      <c r="Q19">
        <v>2.6165937372306107E-3</v>
      </c>
      <c r="R19">
        <v>2.0787821408163256E-3</v>
      </c>
      <c r="S19">
        <v>2.124595693768955E-3</v>
      </c>
      <c r="T19">
        <v>3.9997413748137983E-3</v>
      </c>
      <c r="U19">
        <v>2.210123554135347E-3</v>
      </c>
      <c r="V19">
        <v>2.1652812362713907E-3</v>
      </c>
      <c r="W19">
        <v>2.2307677862849246E-3</v>
      </c>
      <c r="X19">
        <v>2.4018649988825132E-5</v>
      </c>
      <c r="Y19">
        <v>-2.2052498377818841E-4</v>
      </c>
      <c r="Z19">
        <v>-3.0283649717149376E-4</v>
      </c>
      <c r="AA19">
        <v>6.84676039983163E-4</v>
      </c>
      <c r="AB19">
        <v>1.4247236523973659E-3</v>
      </c>
      <c r="AC19">
        <v>1.6478728809092517E-3</v>
      </c>
      <c r="AD19">
        <v>2.2505341417083657E-3</v>
      </c>
    </row>
    <row r="20" spans="1:30" x14ac:dyDescent="0.2">
      <c r="A20" t="s">
        <v>90</v>
      </c>
      <c r="B20">
        <v>9.7566311500471098E-2</v>
      </c>
      <c r="C20">
        <v>4.1019799813449148E-5</v>
      </c>
      <c r="D20">
        <v>-7.4130277732964802E-4</v>
      </c>
      <c r="E20">
        <v>1.9043531674268644E-5</v>
      </c>
      <c r="F20">
        <v>1.8591294892742852E-4</v>
      </c>
      <c r="G20">
        <v>-1.9940524603671148E-4</v>
      </c>
      <c r="H20">
        <v>-2.8497768339563279E-4</v>
      </c>
      <c r="I20">
        <v>7.8963806441573658E-5</v>
      </c>
      <c r="J20">
        <v>1.6219013659851548E-4</v>
      </c>
      <c r="K20">
        <v>-8.3924010726868915E-5</v>
      </c>
      <c r="L20">
        <v>7.011705708095809E-5</v>
      </c>
      <c r="M20">
        <v>2.3403682294445187E-3</v>
      </c>
      <c r="N20">
        <v>2.1637010699198829E-3</v>
      </c>
      <c r="O20">
        <v>2.1482100929049426E-3</v>
      </c>
      <c r="P20">
        <v>2.1644490733089918E-3</v>
      </c>
      <c r="Q20">
        <v>2.7760974904565581E-3</v>
      </c>
      <c r="R20">
        <v>2.1250494997911216E-3</v>
      </c>
      <c r="S20">
        <v>2.1610172003064692E-3</v>
      </c>
      <c r="T20">
        <v>2.210123554135347E-3</v>
      </c>
      <c r="U20">
        <v>4.6988827953981308E-3</v>
      </c>
      <c r="V20">
        <v>2.2051370672502841E-3</v>
      </c>
      <c r="W20">
        <v>2.3009024317300814E-3</v>
      </c>
      <c r="X20">
        <v>3.5750939666395233E-5</v>
      </c>
      <c r="Y20">
        <v>-2.5469108279829473E-4</v>
      </c>
      <c r="Z20">
        <v>-3.3823070783563463E-4</v>
      </c>
      <c r="AA20">
        <v>7.4886170880387602E-4</v>
      </c>
      <c r="AB20">
        <v>1.499446081343505E-3</v>
      </c>
      <c r="AC20">
        <v>1.89727999312645E-3</v>
      </c>
      <c r="AD20">
        <v>4.1912772594290271E-3</v>
      </c>
    </row>
    <row r="21" spans="1:30" x14ac:dyDescent="0.2">
      <c r="A21" t="s">
        <v>91</v>
      </c>
      <c r="B21">
        <v>6.157010494966457E-2</v>
      </c>
      <c r="C21">
        <v>1.2075529687148107E-4</v>
      </c>
      <c r="D21">
        <v>-2.4903477094282735E-4</v>
      </c>
      <c r="E21">
        <v>6.4012248909008052E-6</v>
      </c>
      <c r="F21">
        <v>2.3194974451110951E-4</v>
      </c>
      <c r="G21">
        <v>2.5335738968199539E-5</v>
      </c>
      <c r="H21">
        <v>-3.551530270442106E-6</v>
      </c>
      <c r="I21">
        <v>1.2505090391432558E-4</v>
      </c>
      <c r="J21">
        <v>8.5529316602709748E-5</v>
      </c>
      <c r="K21">
        <v>-9.3580766697609272E-5</v>
      </c>
      <c r="L21">
        <v>7.1359879405814668E-6</v>
      </c>
      <c r="M21">
        <v>2.2898311521255235E-3</v>
      </c>
      <c r="N21">
        <v>2.1111610988098013E-3</v>
      </c>
      <c r="O21">
        <v>2.0819190463828578E-3</v>
      </c>
      <c r="P21">
        <v>2.0903811917865763E-3</v>
      </c>
      <c r="Q21">
        <v>2.5499556806180771E-3</v>
      </c>
      <c r="R21">
        <v>2.0746008375344622E-3</v>
      </c>
      <c r="S21">
        <v>2.1176224844198827E-3</v>
      </c>
      <c r="T21">
        <v>2.1652812362713907E-3</v>
      </c>
      <c r="U21">
        <v>2.2051370672502841E-3</v>
      </c>
      <c r="V21">
        <v>3.8943575991014522E-3</v>
      </c>
      <c r="W21">
        <v>2.2231807590924E-3</v>
      </c>
      <c r="X21">
        <v>3.4709853648699535E-5</v>
      </c>
      <c r="Y21">
        <v>-2.5267861788541763E-4</v>
      </c>
      <c r="Z21">
        <v>-3.2519361140418432E-4</v>
      </c>
      <c r="AA21">
        <v>7.1312418234548006E-4</v>
      </c>
      <c r="AB21">
        <v>1.5395175653267585E-3</v>
      </c>
      <c r="AC21">
        <v>1.5825649156729973E-3</v>
      </c>
      <c r="AD21">
        <v>-6.950537020830802E-4</v>
      </c>
    </row>
    <row r="22" spans="1:30" x14ac:dyDescent="0.2">
      <c r="A22" t="s">
        <v>92</v>
      </c>
      <c r="B22">
        <v>0.20146727253882354</v>
      </c>
      <c r="C22">
        <v>7.0332476489905695E-5</v>
      </c>
      <c r="D22">
        <v>-9.0161600092407944E-4</v>
      </c>
      <c r="E22">
        <v>2.2677044974068713E-5</v>
      </c>
      <c r="F22">
        <v>1.3036369904809709E-4</v>
      </c>
      <c r="G22">
        <v>-1.4476789003550381E-4</v>
      </c>
      <c r="H22">
        <v>-3.4335487985998124E-4</v>
      </c>
      <c r="I22">
        <v>1.1190051494246048E-4</v>
      </c>
      <c r="J22">
        <v>2.2375137073427304E-4</v>
      </c>
      <c r="K22">
        <v>-8.1171890784392103E-5</v>
      </c>
      <c r="L22">
        <v>7.2547013290834642E-5</v>
      </c>
      <c r="M22">
        <v>2.3585833900705731E-3</v>
      </c>
      <c r="N22">
        <v>2.181938511057534E-3</v>
      </c>
      <c r="O22">
        <v>2.1746043145163393E-3</v>
      </c>
      <c r="P22">
        <v>2.1878432572481829E-3</v>
      </c>
      <c r="Q22">
        <v>2.8382070201386565E-3</v>
      </c>
      <c r="R22">
        <v>2.1361793937347286E-3</v>
      </c>
      <c r="S22">
        <v>2.1863404210706425E-3</v>
      </c>
      <c r="T22">
        <v>2.2307677862849246E-3</v>
      </c>
      <c r="U22">
        <v>2.3009024317300814E-3</v>
      </c>
      <c r="V22">
        <v>2.2231807590924E-3</v>
      </c>
      <c r="W22">
        <v>4.2750099138228184E-3</v>
      </c>
      <c r="X22">
        <v>2.362553653049266E-5</v>
      </c>
      <c r="Y22">
        <v>-2.3995424917711266E-4</v>
      </c>
      <c r="Z22">
        <v>-3.5250407061729436E-4</v>
      </c>
      <c r="AA22">
        <v>8.4713757029681474E-4</v>
      </c>
      <c r="AB22">
        <v>1.5397751683173143E-3</v>
      </c>
      <c r="AC22">
        <v>2.0574199406421306E-3</v>
      </c>
      <c r="AD22">
        <v>6.0548254903083909E-3</v>
      </c>
    </row>
    <row r="23" spans="1:30" x14ac:dyDescent="0.2">
      <c r="A23" t="s">
        <v>29</v>
      </c>
      <c r="B23">
        <v>-1.8932524141990922E-2</v>
      </c>
      <c r="C23">
        <v>1.0523831045531457E-5</v>
      </c>
      <c r="D23">
        <v>-1.1664901144912976E-4</v>
      </c>
      <c r="E23">
        <v>2.9146758317647305E-6</v>
      </c>
      <c r="F23">
        <v>3.3849538061177123E-5</v>
      </c>
      <c r="G23">
        <v>7.6651063498947266E-6</v>
      </c>
      <c r="H23">
        <v>9.5205732427816429E-6</v>
      </c>
      <c r="I23">
        <v>3.0927037115813715E-5</v>
      </c>
      <c r="J23">
        <v>2.331033814922728E-5</v>
      </c>
      <c r="K23">
        <v>-3.4886106032739478E-6</v>
      </c>
      <c r="L23">
        <v>-8.0013061899250788E-6</v>
      </c>
      <c r="M23">
        <v>4.7241228115074197E-5</v>
      </c>
      <c r="N23">
        <v>2.6687706693063616E-5</v>
      </c>
      <c r="O23">
        <v>1.8315366612699647E-5</v>
      </c>
      <c r="P23">
        <v>2.4510533888589148E-5</v>
      </c>
      <c r="Q23">
        <v>1.4004396988403741E-4</v>
      </c>
      <c r="R23">
        <v>2.5458882233374963E-5</v>
      </c>
      <c r="S23">
        <v>2.1588758419323177E-5</v>
      </c>
      <c r="T23">
        <v>2.4018649988825132E-5</v>
      </c>
      <c r="U23">
        <v>3.5750939666395233E-5</v>
      </c>
      <c r="V23">
        <v>3.4709853648699535E-5</v>
      </c>
      <c r="W23">
        <v>2.362553653049266E-5</v>
      </c>
      <c r="X23">
        <v>2.3924290856222702E-5</v>
      </c>
      <c r="Y23">
        <v>-1.1030349017389943E-4</v>
      </c>
      <c r="Z23">
        <v>-1.3480223028125831E-4</v>
      </c>
      <c r="AA23">
        <v>1.1678501224900515E-5</v>
      </c>
      <c r="AB23">
        <v>2.1267954612790425E-5</v>
      </c>
      <c r="AC23">
        <v>2.2069478366838324E-4</v>
      </c>
      <c r="AD23">
        <v>6.9194656402771487E-4</v>
      </c>
    </row>
    <row r="24" spans="1:30" x14ac:dyDescent="0.2">
      <c r="A24" t="s">
        <v>30</v>
      </c>
      <c r="B24">
        <v>4.7513925165804617E-3</v>
      </c>
      <c r="C24">
        <v>-1.7178989814293914E-5</v>
      </c>
      <c r="D24">
        <v>6.2169815174933571E-4</v>
      </c>
      <c r="E24">
        <v>-1.5684506930394439E-5</v>
      </c>
      <c r="F24">
        <v>-7.1747631212698202E-5</v>
      </c>
      <c r="G24">
        <v>3.4480917947493335E-5</v>
      </c>
      <c r="H24">
        <v>7.4593468318693689E-5</v>
      </c>
      <c r="I24">
        <v>-1.1683992310657348E-4</v>
      </c>
      <c r="J24">
        <v>-1.2998299185978252E-4</v>
      </c>
      <c r="K24">
        <v>-2.5904905366172862E-5</v>
      </c>
      <c r="L24">
        <v>5.025299806896491E-5</v>
      </c>
      <c r="M24">
        <v>-2.0086988198094249E-4</v>
      </c>
      <c r="N24">
        <v>-2.0297102170679059E-4</v>
      </c>
      <c r="O24">
        <v>-2.227818682762736E-4</v>
      </c>
      <c r="P24">
        <v>-1.839293540113428E-4</v>
      </c>
      <c r="Q24">
        <v>-7.1658328097774305E-4</v>
      </c>
      <c r="R24">
        <v>-2.2633414664906303E-4</v>
      </c>
      <c r="S24">
        <v>-2.0221778497411889E-4</v>
      </c>
      <c r="T24">
        <v>-2.2052498377818841E-4</v>
      </c>
      <c r="U24">
        <v>-2.5469108279829473E-4</v>
      </c>
      <c r="V24">
        <v>-2.5267861788541763E-4</v>
      </c>
      <c r="W24">
        <v>-2.3995424917711266E-4</v>
      </c>
      <c r="X24">
        <v>-1.1030349017389943E-4</v>
      </c>
      <c r="Y24">
        <v>3.0684609366023147E-3</v>
      </c>
      <c r="Z24">
        <v>7.8270534587726321E-4</v>
      </c>
      <c r="AA24">
        <v>-2.0717867218390939E-4</v>
      </c>
      <c r="AB24">
        <v>-1.2477422032408181E-4</v>
      </c>
      <c r="AC24">
        <v>-1.1794692417306241E-3</v>
      </c>
      <c r="AD24">
        <v>-4.1486304160030726E-3</v>
      </c>
    </row>
    <row r="25" spans="1:30" x14ac:dyDescent="0.2">
      <c r="A25" t="s">
        <v>31</v>
      </c>
      <c r="B25">
        <v>0.11202391699030145</v>
      </c>
      <c r="C25">
        <v>-1.6892620356278351E-5</v>
      </c>
      <c r="D25">
        <v>8.3396681225648278E-4</v>
      </c>
      <c r="E25">
        <v>-2.0873505732196167E-5</v>
      </c>
      <c r="F25">
        <v>-9.5194835081588945E-5</v>
      </c>
      <c r="G25">
        <v>8.1103168155810144E-5</v>
      </c>
      <c r="H25">
        <v>1.1560221715464E-4</v>
      </c>
      <c r="I25">
        <v>-1.2083358709309147E-4</v>
      </c>
      <c r="J25">
        <v>-9.8802579107468841E-5</v>
      </c>
      <c r="K25">
        <v>-1.1188518788387766E-5</v>
      </c>
      <c r="L25">
        <v>8.3623727144483198E-5</v>
      </c>
      <c r="M25">
        <v>-3.7647882353270619E-4</v>
      </c>
      <c r="N25">
        <v>-2.8830311939121627E-4</v>
      </c>
      <c r="O25">
        <v>-2.9560833672258552E-4</v>
      </c>
      <c r="P25">
        <v>-2.4472410378506386E-4</v>
      </c>
      <c r="Q25">
        <v>-9.7691138965518443E-4</v>
      </c>
      <c r="R25">
        <v>-3.0326266400819879E-4</v>
      </c>
      <c r="S25">
        <v>-2.7094354429965336E-4</v>
      </c>
      <c r="T25">
        <v>-3.0283649717149376E-4</v>
      </c>
      <c r="U25">
        <v>-3.3823070783563463E-4</v>
      </c>
      <c r="V25">
        <v>-3.2519361140418432E-4</v>
      </c>
      <c r="W25">
        <v>-3.5250407061729436E-4</v>
      </c>
      <c r="X25">
        <v>-1.3480223028125831E-4</v>
      </c>
      <c r="Y25">
        <v>7.8270534587726321E-4</v>
      </c>
      <c r="Z25">
        <v>4.1287372522506582E-3</v>
      </c>
      <c r="AA25">
        <v>-2.6770643640793045E-4</v>
      </c>
      <c r="AB25">
        <v>-1.4435429475219842E-4</v>
      </c>
      <c r="AC25">
        <v>-1.3975336304345035E-3</v>
      </c>
      <c r="AD25">
        <v>-5.832748556851973E-3</v>
      </c>
    </row>
    <row r="26" spans="1:30" x14ac:dyDescent="0.2">
      <c r="A26" t="s">
        <v>95</v>
      </c>
      <c r="B26">
        <v>0.32813470648225124</v>
      </c>
      <c r="C26">
        <v>-4.8694360684343264E-5</v>
      </c>
      <c r="D26">
        <v>2.1932123329348845E-4</v>
      </c>
      <c r="E26">
        <v>-4.5863203436231014E-6</v>
      </c>
      <c r="F26">
        <v>1.8124216979582886E-5</v>
      </c>
      <c r="G26">
        <v>-3.998443525667501E-5</v>
      </c>
      <c r="H26">
        <v>-1.7922662571683251E-4</v>
      </c>
      <c r="I26">
        <v>1.9209076984261643E-4</v>
      </c>
      <c r="J26">
        <v>2.2043579596078052E-4</v>
      </c>
      <c r="K26">
        <v>2.8762537659132639E-4</v>
      </c>
      <c r="L26">
        <v>3.5553502780538964E-4</v>
      </c>
      <c r="M26">
        <v>1.4516339437434414E-3</v>
      </c>
      <c r="N26">
        <v>5.2664655714360217E-4</v>
      </c>
      <c r="O26">
        <v>4.8048016744748972E-4</v>
      </c>
      <c r="P26">
        <v>5.8459812116302533E-4</v>
      </c>
      <c r="Q26">
        <v>3.6904705850057315E-4</v>
      </c>
      <c r="R26">
        <v>5.650549596379964E-4</v>
      </c>
      <c r="S26">
        <v>6.4563704523933367E-4</v>
      </c>
      <c r="T26">
        <v>6.84676039983163E-4</v>
      </c>
      <c r="U26">
        <v>7.4886170880387602E-4</v>
      </c>
      <c r="V26">
        <v>7.1312418234548006E-4</v>
      </c>
      <c r="W26">
        <v>8.4713757029681474E-4</v>
      </c>
      <c r="X26">
        <v>1.1678501224900515E-5</v>
      </c>
      <c r="Y26">
        <v>-2.0717867218390939E-4</v>
      </c>
      <c r="Z26">
        <v>-2.6770643640793045E-4</v>
      </c>
      <c r="AA26">
        <v>2.9305490815647981E-3</v>
      </c>
      <c r="AB26">
        <v>6.0603263534401573E-4</v>
      </c>
      <c r="AC26">
        <v>2.493384874441432E-4</v>
      </c>
      <c r="AD26">
        <v>-3.5780364880702055E-3</v>
      </c>
    </row>
    <row r="27" spans="1:30" x14ac:dyDescent="0.2">
      <c r="A27" t="s">
        <v>96</v>
      </c>
      <c r="B27">
        <v>0.1715424382860935</v>
      </c>
      <c r="C27">
        <v>7.4015816498484508E-5</v>
      </c>
      <c r="D27">
        <v>1.3127970346546794E-4</v>
      </c>
      <c r="E27">
        <v>-3.9738079143425745E-6</v>
      </c>
      <c r="F27">
        <v>4.018233722868881E-5</v>
      </c>
      <c r="G27">
        <v>1.4124012295486433E-4</v>
      </c>
      <c r="H27">
        <v>4.1752556163805049E-5</v>
      </c>
      <c r="I27">
        <v>1.183688205187224E-4</v>
      </c>
      <c r="J27">
        <v>7.1117010771308206E-5</v>
      </c>
      <c r="K27">
        <v>5.3221582432151117E-5</v>
      </c>
      <c r="L27">
        <v>2.1007066061080795E-4</v>
      </c>
      <c r="M27">
        <v>1.5266320102615295E-3</v>
      </c>
      <c r="N27">
        <v>1.3522020189952388E-3</v>
      </c>
      <c r="O27">
        <v>1.3172052499586685E-3</v>
      </c>
      <c r="P27">
        <v>1.2954183720342476E-3</v>
      </c>
      <c r="Q27">
        <v>1.5606947077435843E-3</v>
      </c>
      <c r="R27">
        <v>1.2618327104730344E-3</v>
      </c>
      <c r="S27">
        <v>1.3499395267180443E-3</v>
      </c>
      <c r="T27">
        <v>1.4247236523973659E-3</v>
      </c>
      <c r="U27">
        <v>1.499446081343505E-3</v>
      </c>
      <c r="V27">
        <v>1.5395175653267585E-3</v>
      </c>
      <c r="W27">
        <v>1.5397751683173143E-3</v>
      </c>
      <c r="X27">
        <v>2.1267954612790425E-5</v>
      </c>
      <c r="Y27">
        <v>-1.2477422032408181E-4</v>
      </c>
      <c r="Z27">
        <v>-1.4435429475219842E-4</v>
      </c>
      <c r="AA27">
        <v>6.0603263534401573E-4</v>
      </c>
      <c r="AB27">
        <v>5.0106797259788808E-3</v>
      </c>
      <c r="AC27">
        <v>8.8843048496902669E-4</v>
      </c>
      <c r="AD27">
        <v>-3.1188072902366103E-3</v>
      </c>
    </row>
    <row r="28" spans="1:30" x14ac:dyDescent="0.2">
      <c r="A28" t="s">
        <v>97</v>
      </c>
      <c r="B28">
        <v>-7.2403953412791114E-2</v>
      </c>
      <c r="C28">
        <v>4.5068847409863262E-4</v>
      </c>
      <c r="D28">
        <v>-4.8710971082833454E-3</v>
      </c>
      <c r="E28">
        <v>1.2000659517951437E-4</v>
      </c>
      <c r="F28">
        <v>3.8860826710626585E-4</v>
      </c>
      <c r="G28">
        <v>-1.0772719296445014E-4</v>
      </c>
      <c r="H28">
        <v>-7.2096375657014142E-4</v>
      </c>
      <c r="I28">
        <v>5.4508383753806497E-4</v>
      </c>
      <c r="J28">
        <v>7.7676453122030309E-4</v>
      </c>
      <c r="K28">
        <v>-8.0661434856768577E-4</v>
      </c>
      <c r="L28">
        <v>-5.8573292207719091E-4</v>
      </c>
      <c r="M28">
        <v>1.6027372185138545E-3</v>
      </c>
      <c r="N28">
        <v>1.6190327136845761E-3</v>
      </c>
      <c r="O28">
        <v>1.6310227742838143E-3</v>
      </c>
      <c r="P28">
        <v>1.5872571225365832E-3</v>
      </c>
      <c r="Q28">
        <v>5.9321049697197807E-3</v>
      </c>
      <c r="R28">
        <v>1.2860293434102587E-3</v>
      </c>
      <c r="S28">
        <v>1.5037547888969291E-3</v>
      </c>
      <c r="T28">
        <v>1.6478728809092517E-3</v>
      </c>
      <c r="U28">
        <v>1.89727999312645E-3</v>
      </c>
      <c r="V28">
        <v>1.5825649156729973E-3</v>
      </c>
      <c r="W28">
        <v>2.0574199406421306E-3</v>
      </c>
      <c r="X28">
        <v>2.2069478366838324E-4</v>
      </c>
      <c r="Y28">
        <v>-1.1794692417306241E-3</v>
      </c>
      <c r="Z28">
        <v>-1.3975336304345035E-3</v>
      </c>
      <c r="AA28">
        <v>2.493384874441432E-4</v>
      </c>
      <c r="AB28">
        <v>8.8843048496902669E-4</v>
      </c>
      <c r="AC28">
        <v>1.3074646506825695E-2</v>
      </c>
      <c r="AD28">
        <v>4.2469196471830652E-2</v>
      </c>
    </row>
    <row r="29" spans="1:30" x14ac:dyDescent="0.2">
      <c r="A29" t="s">
        <v>32</v>
      </c>
      <c r="B29">
        <v>14.504607977326586</v>
      </c>
      <c r="C29">
        <v>-2.2265493552765967E-3</v>
      </c>
      <c r="D29">
        <v>-8.0709593918225186E-2</v>
      </c>
      <c r="E29">
        <v>1.9747701773800697E-3</v>
      </c>
      <c r="F29">
        <v>-7.9773937128599544E-5</v>
      </c>
      <c r="G29">
        <v>-1.0545753980339682E-2</v>
      </c>
      <c r="H29">
        <v>-1.3393321732203811E-2</v>
      </c>
      <c r="I29">
        <v>-6.8764092454582787E-3</v>
      </c>
      <c r="J29">
        <v>-1.8225812399710883E-4</v>
      </c>
      <c r="K29">
        <v>-1.7054686771951322E-2</v>
      </c>
      <c r="L29">
        <v>-1.4262865411126813E-2</v>
      </c>
      <c r="M29">
        <v>-2.631212514646708E-3</v>
      </c>
      <c r="N29">
        <v>2.4985011617308997E-3</v>
      </c>
      <c r="O29">
        <v>3.6756270250617867E-3</v>
      </c>
      <c r="P29">
        <v>4.8357356110148436E-3</v>
      </c>
      <c r="Q29">
        <v>2.8458489134772606E-2</v>
      </c>
      <c r="R29">
        <v>1.2599835548748918E-3</v>
      </c>
      <c r="S29">
        <v>2.8317450529406693E-3</v>
      </c>
      <c r="T29">
        <v>2.2505341417083657E-3</v>
      </c>
      <c r="U29">
        <v>4.1912772594290271E-3</v>
      </c>
      <c r="V29">
        <v>-6.950537020830802E-4</v>
      </c>
      <c r="W29">
        <v>6.0548254903083909E-3</v>
      </c>
      <c r="X29">
        <v>6.9194656402771487E-4</v>
      </c>
      <c r="Y29">
        <v>-4.1486304160030726E-3</v>
      </c>
      <c r="Z29">
        <v>-5.832748556851973E-3</v>
      </c>
      <c r="AA29">
        <v>-3.5780364880702055E-3</v>
      </c>
      <c r="AB29">
        <v>-3.1188072902366103E-3</v>
      </c>
      <c r="AC29">
        <v>4.2469196471830652E-2</v>
      </c>
      <c r="AD29">
        <v>0.8076144429353258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0"/>
  <sheetViews>
    <sheetView workbookViewId="0"/>
  </sheetViews>
  <sheetFormatPr baseColWidth="10" defaultColWidth="8.83203125" defaultRowHeight="15" x14ac:dyDescent="0.2"/>
  <sheetData>
    <row r="1" spans="1:31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38</v>
      </c>
      <c r="G1" t="s">
        <v>39</v>
      </c>
      <c r="H1" t="s">
        <v>40</v>
      </c>
      <c r="I1" t="s">
        <v>23</v>
      </c>
      <c r="J1" t="s">
        <v>24</v>
      </c>
      <c r="K1" t="s">
        <v>41</v>
      </c>
      <c r="L1" t="s">
        <v>42</v>
      </c>
      <c r="M1" t="s">
        <v>43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29</v>
      </c>
      <c r="Z1" t="s">
        <v>30</v>
      </c>
      <c r="AA1" t="s">
        <v>31</v>
      </c>
      <c r="AB1" t="s">
        <v>95</v>
      </c>
      <c r="AC1" t="s">
        <v>96</v>
      </c>
      <c r="AD1" t="s">
        <v>97</v>
      </c>
      <c r="AE1" t="s">
        <v>32</v>
      </c>
    </row>
    <row r="2" spans="1:31" x14ac:dyDescent="0.2">
      <c r="A2" t="s">
        <v>19</v>
      </c>
      <c r="B2">
        <v>-0.18352329027448366</v>
      </c>
      <c r="C2">
        <v>8.2011817917327647E-4</v>
      </c>
      <c r="D2">
        <v>2.3175165627509999E-5</v>
      </c>
      <c r="E2">
        <v>-2.6689305258606716E-7</v>
      </c>
      <c r="F2">
        <v>-1.7746121008223046E-4</v>
      </c>
      <c r="G2">
        <v>5.4401217540817022E-5</v>
      </c>
      <c r="H2">
        <v>6.6734979096344299E-6</v>
      </c>
      <c r="I2">
        <v>2.8575236049631627E-6</v>
      </c>
      <c r="J2">
        <v>1.5589916657028212E-4</v>
      </c>
      <c r="K2">
        <v>-1.2938632257956847E-4</v>
      </c>
      <c r="L2">
        <v>6.7894424293545784E-5</v>
      </c>
      <c r="M2">
        <v>-1.7525661209720568E-5</v>
      </c>
      <c r="N2">
        <v>9.7832084487309528E-4</v>
      </c>
      <c r="O2">
        <v>1.2166857897870234E-5</v>
      </c>
      <c r="P2">
        <v>6.7025936288026672E-5</v>
      </c>
      <c r="Q2">
        <v>3.7766337735724191E-5</v>
      </c>
      <c r="R2">
        <v>9.3798557796369585E-5</v>
      </c>
      <c r="S2">
        <v>1.1995179300228012E-4</v>
      </c>
      <c r="T2">
        <v>1.8514357607053581E-5</v>
      </c>
      <c r="U2">
        <v>3.8628074414092723E-5</v>
      </c>
      <c r="V2">
        <v>5.1904105927141919E-5</v>
      </c>
      <c r="W2">
        <v>1.2448005771207535E-4</v>
      </c>
      <c r="X2">
        <v>-1.2836201470741088E-6</v>
      </c>
      <c r="Y2">
        <v>1.2632098917312096E-5</v>
      </c>
      <c r="Z2">
        <v>-3.1810920168650703E-6</v>
      </c>
      <c r="AA2">
        <v>-3.4472130257758726E-5</v>
      </c>
      <c r="AB2">
        <v>6.0477517618111049E-4</v>
      </c>
      <c r="AC2">
        <v>8.069580291957787E-5</v>
      </c>
      <c r="AD2">
        <v>-2.1041596288475347E-5</v>
      </c>
      <c r="AE2">
        <v>-1.039401517118948E-3</v>
      </c>
    </row>
    <row r="3" spans="1:31" x14ac:dyDescent="0.2">
      <c r="A3" t="s">
        <v>20</v>
      </c>
      <c r="B3">
        <v>-0.19078019432177379</v>
      </c>
      <c r="C3">
        <v>2.3175165627509999E-5</v>
      </c>
      <c r="D3">
        <v>4.7529226970216519E-5</v>
      </c>
      <c r="E3">
        <v>-5.3688774190819179E-7</v>
      </c>
      <c r="F3">
        <v>-6.3756375040139424E-5</v>
      </c>
      <c r="G3">
        <v>-1.8335122896153926E-5</v>
      </c>
      <c r="H3">
        <v>-4.4894216019222279E-6</v>
      </c>
      <c r="I3">
        <v>2.0696412306058239E-5</v>
      </c>
      <c r="J3">
        <v>9.7410269573976454E-6</v>
      </c>
      <c r="K3">
        <v>4.18740370857481E-5</v>
      </c>
      <c r="L3">
        <v>-2.5672001917473336E-5</v>
      </c>
      <c r="M3">
        <v>4.9322966287616436E-5</v>
      </c>
      <c r="N3">
        <v>-1.4429372669478853E-4</v>
      </c>
      <c r="O3">
        <v>-5.3057213903215606E-6</v>
      </c>
      <c r="P3">
        <v>-1.0628720046712149E-5</v>
      </c>
      <c r="Q3">
        <v>-2.2119597892749751E-5</v>
      </c>
      <c r="R3">
        <v>-1.4951665386634611E-5</v>
      </c>
      <c r="S3">
        <v>-4.7538571277911876E-6</v>
      </c>
      <c r="T3">
        <v>-9.132820121003193E-6</v>
      </c>
      <c r="U3">
        <v>-1.4082897464376691E-7</v>
      </c>
      <c r="V3">
        <v>-4.7302661164500673E-5</v>
      </c>
      <c r="W3">
        <v>-2.2908347989694994E-5</v>
      </c>
      <c r="X3">
        <v>-4.3565317670657649E-5</v>
      </c>
      <c r="Y3">
        <v>-2.7705035860264241E-6</v>
      </c>
      <c r="Z3">
        <v>3.0542130706681826E-5</v>
      </c>
      <c r="AA3">
        <v>2.7402656989072296E-5</v>
      </c>
      <c r="AB3">
        <v>-1.1854956378226655E-4</v>
      </c>
      <c r="AC3">
        <v>-5.658828681326893E-5</v>
      </c>
      <c r="AD3">
        <v>-1.1926405670077331E-5</v>
      </c>
      <c r="AE3">
        <v>-7.7764391810606097E-4</v>
      </c>
    </row>
    <row r="4" spans="1:31" x14ac:dyDescent="0.2">
      <c r="A4" t="s">
        <v>21</v>
      </c>
      <c r="B4">
        <v>1.8246600505435432E-3</v>
      </c>
      <c r="C4">
        <v>-2.6689305258606716E-7</v>
      </c>
      <c r="D4">
        <v>-5.3688774190819179E-7</v>
      </c>
      <c r="E4">
        <v>6.2162467476231223E-9</v>
      </c>
      <c r="F4">
        <v>6.0299421432732007E-7</v>
      </c>
      <c r="G4">
        <v>1.9863198339223191E-7</v>
      </c>
      <c r="H4">
        <v>-8.2770840721988407E-9</v>
      </c>
      <c r="I4">
        <v>-2.4540956404996126E-7</v>
      </c>
      <c r="J4">
        <v>-2.7594523017059512E-7</v>
      </c>
      <c r="K4">
        <v>-4.3121747033481121E-7</v>
      </c>
      <c r="L4">
        <v>2.9618255910248968E-7</v>
      </c>
      <c r="M4">
        <v>-5.4028739853039802E-7</v>
      </c>
      <c r="N4">
        <v>1.4789624238858511E-6</v>
      </c>
      <c r="O4">
        <v>5.1755878764395895E-8</v>
      </c>
      <c r="P4">
        <v>1.5985484296601083E-7</v>
      </c>
      <c r="Q4">
        <v>2.6410558689158559E-7</v>
      </c>
      <c r="R4">
        <v>1.6923797609695299E-7</v>
      </c>
      <c r="S4">
        <v>5.1621890817573203E-8</v>
      </c>
      <c r="T4">
        <v>1.095893269382421E-7</v>
      </c>
      <c r="U4">
        <v>5.5238431194205686E-8</v>
      </c>
      <c r="V4">
        <v>6.5455102643355176E-7</v>
      </c>
      <c r="W4">
        <v>2.1667575439644923E-7</v>
      </c>
      <c r="X4">
        <v>4.9662054030533506E-7</v>
      </c>
      <c r="Y4">
        <v>1.7684336779108729E-8</v>
      </c>
      <c r="Z4">
        <v>-3.0624105299518555E-7</v>
      </c>
      <c r="AA4">
        <v>-3.0427678367437073E-7</v>
      </c>
      <c r="AB4">
        <v>1.2692888125920662E-6</v>
      </c>
      <c r="AC4">
        <v>6.2122068248565686E-7</v>
      </c>
      <c r="AD4">
        <v>2.0044262487320569E-7</v>
      </c>
      <c r="AE4">
        <v>8.9158206832766181E-6</v>
      </c>
    </row>
    <row r="5" spans="1:31" x14ac:dyDescent="0.2">
      <c r="A5" t="s">
        <v>38</v>
      </c>
      <c r="B5">
        <v>-0.18198378268194629</v>
      </c>
      <c r="C5">
        <v>-1.7746121008223046E-4</v>
      </c>
      <c r="D5">
        <v>-6.3756375040139424E-5</v>
      </c>
      <c r="E5">
        <v>6.0299421432732007E-7</v>
      </c>
      <c r="F5">
        <v>1.1337536902168226E-3</v>
      </c>
      <c r="G5">
        <v>2.1035298830972125E-5</v>
      </c>
      <c r="H5">
        <v>-2.5406039889121446E-5</v>
      </c>
      <c r="I5">
        <v>-2.1202619947752278E-5</v>
      </c>
      <c r="J5">
        <v>-2.7311155219065489E-5</v>
      </c>
      <c r="K5">
        <v>2.0370341386574274E-4</v>
      </c>
      <c r="L5">
        <v>-6.2699390961502854E-5</v>
      </c>
      <c r="M5">
        <v>-1.8939004150902997E-4</v>
      </c>
      <c r="N5">
        <v>-5.5918112036427211E-4</v>
      </c>
      <c r="O5">
        <v>-9.5692527918307923E-5</v>
      </c>
      <c r="P5">
        <v>-2.3273964828313413E-4</v>
      </c>
      <c r="Q5">
        <v>-1.6411936165341341E-4</v>
      </c>
      <c r="R5">
        <v>-8.9319339848755342E-5</v>
      </c>
      <c r="S5">
        <v>-1.6652864381594805E-4</v>
      </c>
      <c r="T5">
        <v>-3.8179486223207965E-5</v>
      </c>
      <c r="U5">
        <v>-1.5288142446868964E-4</v>
      </c>
      <c r="V5">
        <v>-7.570803036679503E-5</v>
      </c>
      <c r="W5">
        <v>-1.1940016530965857E-4</v>
      </c>
      <c r="X5">
        <v>6.2980886319274833E-5</v>
      </c>
      <c r="Y5">
        <v>1.0338857773224935E-5</v>
      </c>
      <c r="Z5">
        <v>-9.3587457143861919E-5</v>
      </c>
      <c r="AA5">
        <v>-9.3260744186882214E-5</v>
      </c>
      <c r="AB5">
        <v>-4.7773059988045759E-4</v>
      </c>
      <c r="AC5">
        <v>1.6859177822882052E-5</v>
      </c>
      <c r="AD5">
        <v>-4.8213671506041819E-5</v>
      </c>
      <c r="AE5">
        <v>9.9202976536911201E-4</v>
      </c>
    </row>
    <row r="6" spans="1:31" x14ac:dyDescent="0.2">
      <c r="A6" t="s">
        <v>39</v>
      </c>
      <c r="B6">
        <v>5.5823342684173119E-2</v>
      </c>
      <c r="C6">
        <v>5.4401217540817022E-5</v>
      </c>
      <c r="D6">
        <v>-1.8335122896153926E-5</v>
      </c>
      <c r="E6">
        <v>1.9863198339223191E-7</v>
      </c>
      <c r="F6">
        <v>2.1035298830972125E-5</v>
      </c>
      <c r="G6">
        <v>1.0945876181596499E-3</v>
      </c>
      <c r="H6">
        <v>2.5491288950673535E-4</v>
      </c>
      <c r="I6">
        <v>2.7448521470630827E-4</v>
      </c>
      <c r="J6">
        <v>2.4033438301117644E-4</v>
      </c>
      <c r="K6">
        <v>1.9408270141391733E-4</v>
      </c>
      <c r="L6">
        <v>5.3892756639301742E-5</v>
      </c>
      <c r="M6">
        <v>-9.3206975497241471E-5</v>
      </c>
      <c r="N6">
        <v>-3.8038726495047892E-4</v>
      </c>
      <c r="O6">
        <v>1.284678271024609E-4</v>
      </c>
      <c r="P6">
        <v>1.0721421909350548E-4</v>
      </c>
      <c r="Q6">
        <v>2.6736303122487876E-4</v>
      </c>
      <c r="R6">
        <v>1.5994191021082027E-4</v>
      </c>
      <c r="S6">
        <v>2.2463540570518504E-4</v>
      </c>
      <c r="T6">
        <v>2.7477109500030844E-4</v>
      </c>
      <c r="U6">
        <v>4.3778084927463648E-5</v>
      </c>
      <c r="V6">
        <v>8.4535537358796257E-5</v>
      </c>
      <c r="W6">
        <v>7.6982780498107391E-5</v>
      </c>
      <c r="X6">
        <v>3.9915073669890731E-5</v>
      </c>
      <c r="Y6">
        <v>-1.2775813659420207E-5</v>
      </c>
      <c r="Z6">
        <v>2.6876950715853704E-5</v>
      </c>
      <c r="AA6">
        <v>1.1622451724160144E-4</v>
      </c>
      <c r="AB6">
        <v>-6.2858422007807779E-4</v>
      </c>
      <c r="AC6">
        <v>3.5445338969468268E-5</v>
      </c>
      <c r="AD6">
        <v>-1.7365633713470121E-4</v>
      </c>
      <c r="AE6">
        <v>-1.7770262701201356E-4</v>
      </c>
    </row>
    <row r="7" spans="1:31" x14ac:dyDescent="0.2">
      <c r="A7" t="s">
        <v>40</v>
      </c>
      <c r="B7">
        <v>-0.36602602034608811</v>
      </c>
      <c r="C7">
        <v>6.6734979096344299E-6</v>
      </c>
      <c r="D7">
        <v>-4.4894216019222279E-6</v>
      </c>
      <c r="E7">
        <v>-8.2770840721988407E-9</v>
      </c>
      <c r="F7">
        <v>-2.5406039889121446E-5</v>
      </c>
      <c r="G7">
        <v>2.5491288950673535E-4</v>
      </c>
      <c r="H7">
        <v>3.5953635416028978E-3</v>
      </c>
      <c r="I7">
        <v>-3.419898124156327E-5</v>
      </c>
      <c r="J7">
        <v>-2.1685418005001133E-4</v>
      </c>
      <c r="K7">
        <v>-1.3419764585021119E-4</v>
      </c>
      <c r="L7">
        <v>-5.6133657075702279E-5</v>
      </c>
      <c r="M7">
        <v>-1.5521743699388869E-4</v>
      </c>
      <c r="N7">
        <v>-7.2717736979586067E-4</v>
      </c>
      <c r="O7">
        <v>7.8681840920818725E-5</v>
      </c>
      <c r="P7">
        <v>-1.3281783512066801E-4</v>
      </c>
      <c r="Q7">
        <v>-8.4112104661656319E-5</v>
      </c>
      <c r="R7">
        <v>-2.6080452878926694E-4</v>
      </c>
      <c r="S7">
        <v>-2.6047684935438927E-4</v>
      </c>
      <c r="T7">
        <v>-2.571066214413592E-4</v>
      </c>
      <c r="U7">
        <v>-1.2440848869462806E-4</v>
      </c>
      <c r="V7">
        <v>-2.7218714877871511E-4</v>
      </c>
      <c r="W7">
        <v>-1.8854191502664901E-4</v>
      </c>
      <c r="X7">
        <v>-4.5425032765538813E-4</v>
      </c>
      <c r="Y7">
        <v>-1.6901313202647722E-5</v>
      </c>
      <c r="Z7">
        <v>5.9548363646428013E-5</v>
      </c>
      <c r="AA7">
        <v>8.6695686877983144E-5</v>
      </c>
      <c r="AB7">
        <v>-4.7673182004498205E-4</v>
      </c>
      <c r="AC7">
        <v>-1.9079492907533581E-4</v>
      </c>
      <c r="AD7">
        <v>-2.2315795013269852E-4</v>
      </c>
      <c r="AE7">
        <v>5.5211871198980814E-4</v>
      </c>
    </row>
    <row r="8" spans="1:31" x14ac:dyDescent="0.2">
      <c r="A8" t="s">
        <v>23</v>
      </c>
      <c r="B8">
        <v>-0.39908167086518226</v>
      </c>
      <c r="C8">
        <v>2.8575236049631627E-6</v>
      </c>
      <c r="D8">
        <v>2.0696412306058239E-5</v>
      </c>
      <c r="E8">
        <v>-2.4540956404996126E-7</v>
      </c>
      <c r="F8">
        <v>-2.1202619947752278E-5</v>
      </c>
      <c r="G8">
        <v>2.7448521470630827E-4</v>
      </c>
      <c r="H8">
        <v>-3.419898124156327E-5</v>
      </c>
      <c r="I8">
        <v>1.5633205315703886E-3</v>
      </c>
      <c r="J8">
        <v>1.289518808382009E-3</v>
      </c>
      <c r="K8">
        <v>4.5370815461555819E-5</v>
      </c>
      <c r="L8">
        <v>-5.1860800216035885E-6</v>
      </c>
      <c r="M8">
        <v>-3.526231013638027E-5</v>
      </c>
      <c r="N8">
        <v>-1.148693799645985E-4</v>
      </c>
      <c r="O8">
        <v>-1.1240447940156066E-4</v>
      </c>
      <c r="P8">
        <v>-2.7899867386550433E-4</v>
      </c>
      <c r="Q8">
        <v>-1.1028700544686091E-4</v>
      </c>
      <c r="R8">
        <v>-7.9999559034188127E-5</v>
      </c>
      <c r="S8">
        <v>-2.8332405101966213E-5</v>
      </c>
      <c r="T8">
        <v>6.3480943532694448E-5</v>
      </c>
      <c r="U8">
        <v>-6.8676296401042481E-5</v>
      </c>
      <c r="V8">
        <v>-1.2979112765978515E-4</v>
      </c>
      <c r="W8">
        <v>-9.4582469483302098E-5</v>
      </c>
      <c r="X8">
        <v>-1.4660338267036391E-4</v>
      </c>
      <c r="Y8">
        <v>8.6582450540612554E-6</v>
      </c>
      <c r="Z8">
        <v>-5.0928508146146957E-5</v>
      </c>
      <c r="AA8">
        <v>-2.4038317696406335E-5</v>
      </c>
      <c r="AB8">
        <v>5.4203152703894515E-5</v>
      </c>
      <c r="AC8">
        <v>-1.3320398073474724E-4</v>
      </c>
      <c r="AD8">
        <v>-5.556329143079731E-5</v>
      </c>
      <c r="AE8">
        <v>-1.7721255266411155E-3</v>
      </c>
    </row>
    <row r="9" spans="1:31" x14ac:dyDescent="0.2">
      <c r="A9" t="s">
        <v>24</v>
      </c>
      <c r="B9">
        <v>-0.47489702590838101</v>
      </c>
      <c r="C9">
        <v>1.5589916657028212E-4</v>
      </c>
      <c r="D9">
        <v>9.7410269573976454E-6</v>
      </c>
      <c r="E9">
        <v>-2.7594523017059512E-7</v>
      </c>
      <c r="F9">
        <v>-2.7311155219065489E-5</v>
      </c>
      <c r="G9">
        <v>2.4033438301117644E-4</v>
      </c>
      <c r="H9">
        <v>-2.1685418005001133E-4</v>
      </c>
      <c r="I9">
        <v>1.289518808382009E-3</v>
      </c>
      <c r="J9">
        <v>2.237472271574613E-3</v>
      </c>
      <c r="K9">
        <v>-2.1113783845345889E-4</v>
      </c>
      <c r="L9">
        <v>8.3380346364541193E-5</v>
      </c>
      <c r="M9">
        <v>2.2193793153292931E-5</v>
      </c>
      <c r="N9">
        <v>1.2557576681140937E-3</v>
      </c>
      <c r="O9">
        <v>1.2796320805692814E-4</v>
      </c>
      <c r="P9">
        <v>-1.9055722825884948E-5</v>
      </c>
      <c r="Q9">
        <v>1.5486610468051242E-4</v>
      </c>
      <c r="R9">
        <v>1.5512040990619551E-4</v>
      </c>
      <c r="S9">
        <v>2.8008596292478381E-4</v>
      </c>
      <c r="T9">
        <v>2.4378701260511701E-4</v>
      </c>
      <c r="U9">
        <v>1.3680473196060506E-4</v>
      </c>
      <c r="V9">
        <v>2.6857981496188987E-5</v>
      </c>
      <c r="W9">
        <v>1.5585587963811855E-4</v>
      </c>
      <c r="X9">
        <v>5.6874210539618344E-5</v>
      </c>
      <c r="Y9">
        <v>4.9444502842137364E-5</v>
      </c>
      <c r="Z9">
        <v>-2.865795904496207E-4</v>
      </c>
      <c r="AA9">
        <v>-2.5445388119396586E-4</v>
      </c>
      <c r="AB9">
        <v>8.2473367522767241E-4</v>
      </c>
      <c r="AC9">
        <v>2.7070077184794441E-5</v>
      </c>
      <c r="AD9">
        <v>-8.0195715763269645E-5</v>
      </c>
      <c r="AE9">
        <v>-2.4294698537371219E-3</v>
      </c>
    </row>
    <row r="10" spans="1:31" x14ac:dyDescent="0.2">
      <c r="A10" t="s">
        <v>41</v>
      </c>
      <c r="B10">
        <v>0.2414122156855453</v>
      </c>
      <c r="C10">
        <v>-1.2938632257956847E-4</v>
      </c>
      <c r="D10">
        <v>4.18740370857481E-5</v>
      </c>
      <c r="E10">
        <v>-4.3121747033481121E-7</v>
      </c>
      <c r="F10">
        <v>2.0370341386574274E-4</v>
      </c>
      <c r="G10">
        <v>1.9408270141391733E-4</v>
      </c>
      <c r="H10">
        <v>-1.3419764585021119E-4</v>
      </c>
      <c r="I10">
        <v>4.5370815461555819E-5</v>
      </c>
      <c r="J10">
        <v>-2.1113783845345889E-4</v>
      </c>
      <c r="K10">
        <v>1.0932428734722454E-3</v>
      </c>
      <c r="L10">
        <v>-1.8569622521162258E-4</v>
      </c>
      <c r="M10">
        <v>1.7509426773785829E-4</v>
      </c>
      <c r="N10">
        <v>-1.3853485995160247E-3</v>
      </c>
      <c r="O10">
        <v>-2.4636228943124386E-5</v>
      </c>
      <c r="P10">
        <v>-2.1412348797457501E-4</v>
      </c>
      <c r="Q10">
        <v>-1.9625818343711065E-4</v>
      </c>
      <c r="R10">
        <v>-3.8573012822309456E-5</v>
      </c>
      <c r="S10">
        <v>-1.2272142083902143E-4</v>
      </c>
      <c r="T10">
        <v>-5.5982438908491495E-5</v>
      </c>
      <c r="U10">
        <v>-6.5231845380099907E-5</v>
      </c>
      <c r="V10">
        <v>-2.2718876190049785E-4</v>
      </c>
      <c r="W10">
        <v>-1.451418057316514E-4</v>
      </c>
      <c r="X10">
        <v>-2.5574937353529367E-4</v>
      </c>
      <c r="Y10">
        <v>-2.4725191094068484E-5</v>
      </c>
      <c r="Z10">
        <v>1.0414505637354562E-4</v>
      </c>
      <c r="AA10">
        <v>9.7715183000182264E-5</v>
      </c>
      <c r="AB10">
        <v>-1.0295009551078563E-3</v>
      </c>
      <c r="AC10">
        <v>-1.5136788154061363E-4</v>
      </c>
      <c r="AD10">
        <v>-1.1811815807068145E-4</v>
      </c>
      <c r="AE10">
        <v>-4.5658149884078287E-4</v>
      </c>
    </row>
    <row r="11" spans="1:31" x14ac:dyDescent="0.2">
      <c r="A11" t="s">
        <v>42</v>
      </c>
      <c r="B11">
        <v>8.0152375131543913E-2</v>
      </c>
      <c r="C11">
        <v>6.7894424293545784E-5</v>
      </c>
      <c r="D11">
        <v>-2.5672001917473336E-5</v>
      </c>
      <c r="E11">
        <v>2.9618255910248968E-7</v>
      </c>
      <c r="F11">
        <v>-6.2699390961502854E-5</v>
      </c>
      <c r="G11">
        <v>5.3892756639301742E-5</v>
      </c>
      <c r="H11">
        <v>-5.6133657075702279E-5</v>
      </c>
      <c r="I11">
        <v>-5.1860800216035885E-6</v>
      </c>
      <c r="J11">
        <v>8.3380346364541193E-5</v>
      </c>
      <c r="K11">
        <v>-1.8569622521162258E-4</v>
      </c>
      <c r="L11">
        <v>2.3649159851454516E-4</v>
      </c>
      <c r="M11">
        <v>-3.5844110248329743E-4</v>
      </c>
      <c r="N11">
        <v>7.4189326270662401E-4</v>
      </c>
      <c r="O11">
        <v>1.0237026688261181E-4</v>
      </c>
      <c r="P11">
        <v>1.2315012054604497E-4</v>
      </c>
      <c r="Q11">
        <v>1.2782871987994452E-4</v>
      </c>
      <c r="R11">
        <v>1.1626641732526358E-4</v>
      </c>
      <c r="S11">
        <v>1.0113057123504992E-4</v>
      </c>
      <c r="T11">
        <v>2.2375385199350687E-4</v>
      </c>
      <c r="U11">
        <v>9.1563355783150842E-5</v>
      </c>
      <c r="V11">
        <v>1.7428510357418082E-4</v>
      </c>
      <c r="W11">
        <v>9.7337681144175182E-5</v>
      </c>
      <c r="X11">
        <v>1.5728634783357553E-4</v>
      </c>
      <c r="Y11">
        <v>1.8778523879687974E-5</v>
      </c>
      <c r="Z11">
        <v>-9.4259592723630912E-5</v>
      </c>
      <c r="AA11">
        <v>-8.812571430238009E-5</v>
      </c>
      <c r="AB11">
        <v>4.1075427650261577E-4</v>
      </c>
      <c r="AC11">
        <v>4.7552024761905764E-5</v>
      </c>
      <c r="AD11">
        <v>1.1075220689611603E-5</v>
      </c>
      <c r="AE11">
        <v>-1.0217551989990099E-4</v>
      </c>
    </row>
    <row r="12" spans="1:31" x14ac:dyDescent="0.2">
      <c r="A12" t="s">
        <v>43</v>
      </c>
      <c r="B12">
        <v>-0.27954910558564333</v>
      </c>
      <c r="C12">
        <v>-1.7525661209720568E-5</v>
      </c>
      <c r="D12">
        <v>4.9322966287616436E-5</v>
      </c>
      <c r="E12">
        <v>-5.4028739853039802E-7</v>
      </c>
      <c r="F12">
        <v>-1.8939004150902997E-4</v>
      </c>
      <c r="G12">
        <v>-9.3206975497241471E-5</v>
      </c>
      <c r="H12">
        <v>-1.5521743699388869E-4</v>
      </c>
      <c r="I12">
        <v>-3.526231013638027E-5</v>
      </c>
      <c r="J12">
        <v>2.2193793153292931E-5</v>
      </c>
      <c r="K12">
        <v>1.7509426773785829E-4</v>
      </c>
      <c r="L12">
        <v>-3.5844110248329743E-4</v>
      </c>
      <c r="M12">
        <v>2.658783027996455E-3</v>
      </c>
      <c r="N12">
        <v>-8.5156913692104887E-4</v>
      </c>
      <c r="O12">
        <v>-2.7789283443587484E-5</v>
      </c>
      <c r="P12">
        <v>2.439563947985395E-6</v>
      </c>
      <c r="Q12">
        <v>-4.1352444674674788E-5</v>
      </c>
      <c r="R12">
        <v>1.4697064052588958E-4</v>
      </c>
      <c r="S12">
        <v>-6.7778127992559477E-5</v>
      </c>
      <c r="T12">
        <v>-3.256068771239763E-4</v>
      </c>
      <c r="U12">
        <v>2.1178662748410059E-4</v>
      </c>
      <c r="V12">
        <v>-2.3098769764333529E-4</v>
      </c>
      <c r="W12">
        <v>-2.6938116270627768E-5</v>
      </c>
      <c r="X12">
        <v>-2.6882193839425491E-4</v>
      </c>
      <c r="Y12">
        <v>3.1029077188906143E-6</v>
      </c>
      <c r="Z12">
        <v>2.6424817529667222E-4</v>
      </c>
      <c r="AA12">
        <v>9.1686937183785833E-6</v>
      </c>
      <c r="AB12">
        <v>-4.0099037633441529E-4</v>
      </c>
      <c r="AC12">
        <v>-1.7181973304379432E-4</v>
      </c>
      <c r="AD12">
        <v>-1.882914508196436E-4</v>
      </c>
      <c r="AE12">
        <v>-8.0184920661098265E-4</v>
      </c>
    </row>
    <row r="13" spans="1:31" x14ac:dyDescent="0.2">
      <c r="A13" t="s">
        <v>82</v>
      </c>
      <c r="B13">
        <v>0.24261062343045425</v>
      </c>
      <c r="C13">
        <v>9.7832084487309528E-4</v>
      </c>
      <c r="D13">
        <v>-1.4429372669478853E-4</v>
      </c>
      <c r="E13">
        <v>1.4789624238858511E-6</v>
      </c>
      <c r="F13">
        <v>-5.5918112036427211E-4</v>
      </c>
      <c r="G13">
        <v>-3.8038726495047892E-4</v>
      </c>
      <c r="H13">
        <v>-7.2717736979586067E-4</v>
      </c>
      <c r="I13">
        <v>-1.148693799645985E-4</v>
      </c>
      <c r="J13">
        <v>1.2557576681140937E-3</v>
      </c>
      <c r="K13">
        <v>-1.3853485995160247E-3</v>
      </c>
      <c r="L13">
        <v>7.4189326270662401E-4</v>
      </c>
      <c r="M13">
        <v>-8.5156913692104887E-4</v>
      </c>
      <c r="N13">
        <v>1.3317531487189021E-2</v>
      </c>
      <c r="O13">
        <v>2.5970732480113615E-3</v>
      </c>
      <c r="P13">
        <v>2.7405143347577505E-3</v>
      </c>
      <c r="Q13">
        <v>2.8973797394070177E-3</v>
      </c>
      <c r="R13">
        <v>2.4472874651013292E-3</v>
      </c>
      <c r="S13">
        <v>2.7785959655191711E-3</v>
      </c>
      <c r="T13">
        <v>2.7528130314798524E-3</v>
      </c>
      <c r="U13">
        <v>3.2310413155020056E-3</v>
      </c>
      <c r="V13">
        <v>3.1822674000486443E-3</v>
      </c>
      <c r="W13">
        <v>3.1435547327069552E-3</v>
      </c>
      <c r="X13">
        <v>3.0151695719144093E-3</v>
      </c>
      <c r="Y13">
        <v>2.082264977921635E-4</v>
      </c>
      <c r="Z13">
        <v>-1.0256554875236028E-3</v>
      </c>
      <c r="AA13">
        <v>-9.3677406653447067E-4</v>
      </c>
      <c r="AB13">
        <v>7.0598709556755571E-3</v>
      </c>
      <c r="AC13">
        <v>2.1731994871559092E-3</v>
      </c>
      <c r="AD13">
        <v>1.0532427520007054E-3</v>
      </c>
      <c r="AE13">
        <v>-4.2570894871861191E-3</v>
      </c>
    </row>
    <row r="14" spans="1:31" x14ac:dyDescent="0.2">
      <c r="A14" t="s">
        <v>83</v>
      </c>
      <c r="B14">
        <v>4.0222253109131072E-2</v>
      </c>
      <c r="C14">
        <v>1.2166857897870234E-5</v>
      </c>
      <c r="D14">
        <v>-5.3057213903215606E-6</v>
      </c>
      <c r="E14">
        <v>5.1755878764395895E-8</v>
      </c>
      <c r="F14">
        <v>-9.5692527918307923E-5</v>
      </c>
      <c r="G14">
        <v>1.284678271024609E-4</v>
      </c>
      <c r="H14">
        <v>7.8681840920818725E-5</v>
      </c>
      <c r="I14">
        <v>-1.1240447940156066E-4</v>
      </c>
      <c r="J14">
        <v>1.2796320805692814E-4</v>
      </c>
      <c r="K14">
        <v>-2.4636228943124386E-5</v>
      </c>
      <c r="L14">
        <v>1.0237026688261181E-4</v>
      </c>
      <c r="M14">
        <v>-2.7789283443587484E-5</v>
      </c>
      <c r="N14">
        <v>2.5970732480113615E-3</v>
      </c>
      <c r="O14">
        <v>3.5619081982354826E-3</v>
      </c>
      <c r="P14">
        <v>1.9186005232924674E-3</v>
      </c>
      <c r="Q14">
        <v>1.9129764872119967E-3</v>
      </c>
      <c r="R14">
        <v>1.8060161641482609E-3</v>
      </c>
      <c r="S14">
        <v>1.8714599074283926E-3</v>
      </c>
      <c r="T14">
        <v>1.9015797817901548E-3</v>
      </c>
      <c r="U14">
        <v>1.9917266158354366E-3</v>
      </c>
      <c r="V14">
        <v>1.999478105573908E-3</v>
      </c>
      <c r="W14">
        <v>2.0121885670932082E-3</v>
      </c>
      <c r="X14">
        <v>1.9396630498642693E-3</v>
      </c>
      <c r="Y14">
        <v>2.9961676209608985E-5</v>
      </c>
      <c r="Z14">
        <v>-1.4089768065518739E-4</v>
      </c>
      <c r="AA14">
        <v>-6.8653332404716282E-5</v>
      </c>
      <c r="AB14">
        <v>9.3298076865486472E-4</v>
      </c>
      <c r="AC14">
        <v>1.185069778657529E-3</v>
      </c>
      <c r="AD14">
        <v>7.5319129936459069E-4</v>
      </c>
      <c r="AE14">
        <v>-2.4542278416740775E-3</v>
      </c>
    </row>
    <row r="15" spans="1:31" x14ac:dyDescent="0.2">
      <c r="A15" t="s">
        <v>84</v>
      </c>
      <c r="B15">
        <v>6.786276252523564E-2</v>
      </c>
      <c r="C15">
        <v>6.7025936288026672E-5</v>
      </c>
      <c r="D15">
        <v>-1.0628720046712149E-5</v>
      </c>
      <c r="E15">
        <v>1.5985484296601083E-7</v>
      </c>
      <c r="F15">
        <v>-2.3273964828313413E-4</v>
      </c>
      <c r="G15">
        <v>1.0721421909350548E-4</v>
      </c>
      <c r="H15">
        <v>-1.3281783512066801E-4</v>
      </c>
      <c r="I15">
        <v>-2.7899867386550433E-4</v>
      </c>
      <c r="J15">
        <v>-1.9055722825884948E-5</v>
      </c>
      <c r="K15">
        <v>-2.1412348797457501E-4</v>
      </c>
      <c r="L15">
        <v>1.2315012054604497E-4</v>
      </c>
      <c r="M15">
        <v>2.439563947985395E-6</v>
      </c>
      <c r="N15">
        <v>2.7405143347577505E-3</v>
      </c>
      <c r="O15">
        <v>1.9186005232924674E-3</v>
      </c>
      <c r="P15">
        <v>3.9004285679836862E-3</v>
      </c>
      <c r="Q15">
        <v>1.9819904506734052E-3</v>
      </c>
      <c r="R15">
        <v>1.8542235508545945E-3</v>
      </c>
      <c r="S15">
        <v>1.9200283462827749E-3</v>
      </c>
      <c r="T15">
        <v>1.9525886653840798E-3</v>
      </c>
      <c r="U15">
        <v>2.0471982516358125E-3</v>
      </c>
      <c r="V15">
        <v>2.074949018415902E-3</v>
      </c>
      <c r="W15">
        <v>2.0639629857809889E-3</v>
      </c>
      <c r="X15">
        <v>2.0144988424817285E-3</v>
      </c>
      <c r="Y15">
        <v>3.8201934498807624E-5</v>
      </c>
      <c r="Z15">
        <v>-3.394434038218202E-5</v>
      </c>
      <c r="AA15">
        <v>-2.4554929579476527E-5</v>
      </c>
      <c r="AB15">
        <v>1.0916647770749877E-3</v>
      </c>
      <c r="AC15">
        <v>1.2499750297872677E-3</v>
      </c>
      <c r="AD15">
        <v>7.2373494921240992E-4</v>
      </c>
      <c r="AE15">
        <v>-2.4034062822546748E-3</v>
      </c>
    </row>
    <row r="16" spans="1:31" x14ac:dyDescent="0.2">
      <c r="A16" t="s">
        <v>85</v>
      </c>
      <c r="B16">
        <v>-2.6757341503754372E-2</v>
      </c>
      <c r="C16">
        <v>3.7766337735724191E-5</v>
      </c>
      <c r="D16">
        <v>-2.2119597892749751E-5</v>
      </c>
      <c r="E16">
        <v>2.6410558689158559E-7</v>
      </c>
      <c r="F16">
        <v>-1.6411936165341341E-4</v>
      </c>
      <c r="G16">
        <v>2.6736303122487876E-4</v>
      </c>
      <c r="H16">
        <v>-8.4112104661656319E-5</v>
      </c>
      <c r="I16">
        <v>-1.1028700544686091E-4</v>
      </c>
      <c r="J16">
        <v>1.5486610468051242E-4</v>
      </c>
      <c r="K16">
        <v>-1.9625818343711065E-4</v>
      </c>
      <c r="L16">
        <v>1.2782871987994452E-4</v>
      </c>
      <c r="M16">
        <v>-4.1352444674674788E-5</v>
      </c>
      <c r="N16">
        <v>2.8973797394070177E-3</v>
      </c>
      <c r="O16">
        <v>1.9129764872119967E-3</v>
      </c>
      <c r="P16">
        <v>1.9819904506734052E-3</v>
      </c>
      <c r="Q16">
        <v>4.4082927313127936E-3</v>
      </c>
      <c r="R16">
        <v>1.8501534452391645E-3</v>
      </c>
      <c r="S16">
        <v>1.9305241863183588E-3</v>
      </c>
      <c r="T16">
        <v>1.958891060310003E-3</v>
      </c>
      <c r="U16">
        <v>2.0484261611132021E-3</v>
      </c>
      <c r="V16">
        <v>2.0695245321026615E-3</v>
      </c>
      <c r="W16">
        <v>2.0691750100836283E-3</v>
      </c>
      <c r="X16">
        <v>2.0124696073839377E-3</v>
      </c>
      <c r="Y16">
        <v>3.0042541324264529E-5</v>
      </c>
      <c r="Z16">
        <v>-3.2407374999009414E-5</v>
      </c>
      <c r="AA16">
        <v>-2.184661882017805E-4</v>
      </c>
      <c r="AB16">
        <v>1.2099176869945236E-3</v>
      </c>
      <c r="AC16">
        <v>1.228117076180794E-3</v>
      </c>
      <c r="AD16">
        <v>5.6193521275155526E-4</v>
      </c>
      <c r="AE16">
        <v>-2.2222198181615057E-3</v>
      </c>
    </row>
    <row r="17" spans="1:31" x14ac:dyDescent="0.2">
      <c r="A17" t="s">
        <v>86</v>
      </c>
      <c r="B17">
        <v>0.13871149405160638</v>
      </c>
      <c r="C17">
        <v>9.3798557796369585E-5</v>
      </c>
      <c r="D17">
        <v>-1.4951665386634611E-5</v>
      </c>
      <c r="E17">
        <v>1.6923797609695299E-7</v>
      </c>
      <c r="F17">
        <v>-8.9319339848755342E-5</v>
      </c>
      <c r="G17">
        <v>1.5994191021082027E-4</v>
      </c>
      <c r="H17">
        <v>-2.6080452878926694E-4</v>
      </c>
      <c r="I17">
        <v>-7.9999559034188127E-5</v>
      </c>
      <c r="J17">
        <v>1.5512040990619551E-4</v>
      </c>
      <c r="K17">
        <v>-3.8573012822309456E-5</v>
      </c>
      <c r="L17">
        <v>1.1626641732526358E-4</v>
      </c>
      <c r="M17">
        <v>1.4697064052588958E-4</v>
      </c>
      <c r="N17">
        <v>2.4472874651013292E-3</v>
      </c>
      <c r="O17">
        <v>1.8060161641482609E-3</v>
      </c>
      <c r="P17">
        <v>1.8542235508545945E-3</v>
      </c>
      <c r="Q17">
        <v>1.8501534452391645E-3</v>
      </c>
      <c r="R17">
        <v>3.7632380637038928E-3</v>
      </c>
      <c r="S17">
        <v>1.8093344700968821E-3</v>
      </c>
      <c r="T17">
        <v>1.8383826646614482E-3</v>
      </c>
      <c r="U17">
        <v>1.9066055071603714E-3</v>
      </c>
      <c r="V17">
        <v>1.9223721205505304E-3</v>
      </c>
      <c r="W17">
        <v>1.9389262987207123E-3</v>
      </c>
      <c r="X17">
        <v>1.8835303138133603E-3</v>
      </c>
      <c r="Y17">
        <v>3.6970200092700296E-5</v>
      </c>
      <c r="Z17">
        <v>-2.6165831213243937E-4</v>
      </c>
      <c r="AA17">
        <v>-4.6251060556510952E-5</v>
      </c>
      <c r="AB17">
        <v>6.5716476170966931E-4</v>
      </c>
      <c r="AC17">
        <v>1.1468931081813141E-3</v>
      </c>
      <c r="AD17">
        <v>5.358994147007445E-4</v>
      </c>
      <c r="AE17">
        <v>-2.3932415620857416E-3</v>
      </c>
    </row>
    <row r="18" spans="1:31" x14ac:dyDescent="0.2">
      <c r="A18" t="s">
        <v>87</v>
      </c>
      <c r="B18">
        <v>6.177361134225786E-2</v>
      </c>
      <c r="C18">
        <v>1.1995179300228012E-4</v>
      </c>
      <c r="D18">
        <v>-4.7538571277911876E-6</v>
      </c>
      <c r="E18">
        <v>5.1621890817573203E-8</v>
      </c>
      <c r="F18">
        <v>-1.6652864381594805E-4</v>
      </c>
      <c r="G18">
        <v>2.2463540570518504E-4</v>
      </c>
      <c r="H18">
        <v>-2.6047684935438927E-4</v>
      </c>
      <c r="I18">
        <v>-2.8332405101966213E-5</v>
      </c>
      <c r="J18">
        <v>2.8008596292478381E-4</v>
      </c>
      <c r="K18">
        <v>-1.2272142083902143E-4</v>
      </c>
      <c r="L18">
        <v>1.0113057123504992E-4</v>
      </c>
      <c r="M18">
        <v>-6.7778127992559477E-5</v>
      </c>
      <c r="N18">
        <v>2.7785959655191711E-3</v>
      </c>
      <c r="O18">
        <v>1.8714599074283926E-3</v>
      </c>
      <c r="P18">
        <v>1.9200283462827749E-3</v>
      </c>
      <c r="Q18">
        <v>1.9305241863183588E-3</v>
      </c>
      <c r="R18">
        <v>1.8093344700968821E-3</v>
      </c>
      <c r="S18">
        <v>3.8299182937465608E-3</v>
      </c>
      <c r="T18">
        <v>1.8914413051979886E-3</v>
      </c>
      <c r="U18">
        <v>2.0002866599466607E-3</v>
      </c>
      <c r="V18">
        <v>1.9979021759454563E-3</v>
      </c>
      <c r="W18">
        <v>2.0126724201340192E-3</v>
      </c>
      <c r="X18">
        <v>1.9511846087224675E-3</v>
      </c>
      <c r="Y18">
        <v>3.0309737417623964E-5</v>
      </c>
      <c r="Z18">
        <v>-7.0286230303619733E-5</v>
      </c>
      <c r="AA18">
        <v>-3.5176259260117867E-5</v>
      </c>
      <c r="AB18">
        <v>1.103602082379591E-3</v>
      </c>
      <c r="AC18">
        <v>1.1407855953632648E-3</v>
      </c>
      <c r="AD18">
        <v>4.9786495608999482E-4</v>
      </c>
      <c r="AE18">
        <v>-2.5746408895305651E-3</v>
      </c>
    </row>
    <row r="19" spans="1:31" x14ac:dyDescent="0.2">
      <c r="A19" t="s">
        <v>88</v>
      </c>
      <c r="B19">
        <v>9.6989399024668022E-2</v>
      </c>
      <c r="C19">
        <v>1.8514357607053581E-5</v>
      </c>
      <c r="D19">
        <v>-9.132820121003193E-6</v>
      </c>
      <c r="E19">
        <v>1.095893269382421E-7</v>
      </c>
      <c r="F19">
        <v>-3.8179486223207965E-5</v>
      </c>
      <c r="G19">
        <v>2.7477109500030844E-4</v>
      </c>
      <c r="H19">
        <v>-2.571066214413592E-4</v>
      </c>
      <c r="I19">
        <v>6.3480943532694448E-5</v>
      </c>
      <c r="J19">
        <v>2.4378701260511701E-4</v>
      </c>
      <c r="K19">
        <v>-5.5982438908491495E-5</v>
      </c>
      <c r="L19">
        <v>2.2375385199350687E-4</v>
      </c>
      <c r="M19">
        <v>-3.256068771239763E-4</v>
      </c>
      <c r="N19">
        <v>2.7528130314798524E-3</v>
      </c>
      <c r="O19">
        <v>1.9015797817901548E-3</v>
      </c>
      <c r="P19">
        <v>1.9525886653840798E-3</v>
      </c>
      <c r="Q19">
        <v>1.958891060310003E-3</v>
      </c>
      <c r="R19">
        <v>1.8383826646614482E-3</v>
      </c>
      <c r="S19">
        <v>1.8914413051979886E-3</v>
      </c>
      <c r="T19">
        <v>3.4451294980217479E-3</v>
      </c>
      <c r="U19">
        <v>2.0250799671283765E-3</v>
      </c>
      <c r="V19">
        <v>2.035905726771303E-3</v>
      </c>
      <c r="W19">
        <v>2.029714717224029E-3</v>
      </c>
      <c r="X19">
        <v>2.0146060218779803E-3</v>
      </c>
      <c r="Y19">
        <v>6.4061536440075028E-5</v>
      </c>
      <c r="Z19">
        <v>-4.0593838477195275E-4</v>
      </c>
      <c r="AA19">
        <v>-3.5262706633726673E-4</v>
      </c>
      <c r="AB19">
        <v>1.1288348069041262E-3</v>
      </c>
      <c r="AC19">
        <v>1.1590528229486561E-3</v>
      </c>
      <c r="AD19">
        <v>4.9662615422144596E-4</v>
      </c>
      <c r="AE19">
        <v>-3.2075575297997681E-3</v>
      </c>
    </row>
    <row r="20" spans="1:31" x14ac:dyDescent="0.2">
      <c r="A20" t="s">
        <v>89</v>
      </c>
      <c r="B20">
        <v>5.5746337311193411E-2</v>
      </c>
      <c r="C20">
        <v>3.8628074414092723E-5</v>
      </c>
      <c r="D20">
        <v>-1.4082897464376691E-7</v>
      </c>
      <c r="E20">
        <v>5.5238431194205686E-8</v>
      </c>
      <c r="F20">
        <v>-1.5288142446868964E-4</v>
      </c>
      <c r="G20">
        <v>4.3778084927463648E-5</v>
      </c>
      <c r="H20">
        <v>-1.2440848869462806E-4</v>
      </c>
      <c r="I20">
        <v>-6.8676296401042481E-5</v>
      </c>
      <c r="J20">
        <v>1.3680473196060506E-4</v>
      </c>
      <c r="K20">
        <v>-6.5231845380099907E-5</v>
      </c>
      <c r="L20">
        <v>9.1563355783150842E-5</v>
      </c>
      <c r="M20">
        <v>2.1178662748410059E-4</v>
      </c>
      <c r="N20">
        <v>3.2310413155020056E-3</v>
      </c>
      <c r="O20">
        <v>1.9917266158354366E-3</v>
      </c>
      <c r="P20">
        <v>2.0471982516358125E-3</v>
      </c>
      <c r="Q20">
        <v>2.0484261611132021E-3</v>
      </c>
      <c r="R20">
        <v>1.9066055071603714E-3</v>
      </c>
      <c r="S20">
        <v>2.0002866599466607E-3</v>
      </c>
      <c r="T20">
        <v>2.0250799671283765E-3</v>
      </c>
      <c r="U20">
        <v>4.5588472045767622E-3</v>
      </c>
      <c r="V20">
        <v>2.1444153358435888E-3</v>
      </c>
      <c r="W20">
        <v>2.1687200222657238E-3</v>
      </c>
      <c r="X20">
        <v>2.1158303218502027E-3</v>
      </c>
      <c r="Y20">
        <v>5.8912052062536243E-5</v>
      </c>
      <c r="Z20">
        <v>-2.6456963249513101E-4</v>
      </c>
      <c r="AA20">
        <v>-3.3610535203274243E-4</v>
      </c>
      <c r="AB20">
        <v>1.5270212813485802E-3</v>
      </c>
      <c r="AC20">
        <v>1.3930633503678488E-3</v>
      </c>
      <c r="AD20">
        <v>7.2396155738154366E-4</v>
      </c>
      <c r="AE20">
        <v>-3.2389985641306579E-3</v>
      </c>
    </row>
    <row r="21" spans="1:31" x14ac:dyDescent="0.2">
      <c r="A21" t="s">
        <v>90</v>
      </c>
      <c r="B21">
        <v>4.023939923057087E-2</v>
      </c>
      <c r="C21">
        <v>5.1904105927141919E-5</v>
      </c>
      <c r="D21">
        <v>-4.7302661164500673E-5</v>
      </c>
      <c r="E21">
        <v>6.5455102643355176E-7</v>
      </c>
      <c r="F21">
        <v>-7.570803036679503E-5</v>
      </c>
      <c r="G21">
        <v>8.4535537358796257E-5</v>
      </c>
      <c r="H21">
        <v>-2.7218714877871511E-4</v>
      </c>
      <c r="I21">
        <v>-1.2979112765978515E-4</v>
      </c>
      <c r="J21">
        <v>2.6857981496188987E-5</v>
      </c>
      <c r="K21">
        <v>-2.2718876190049785E-4</v>
      </c>
      <c r="L21">
        <v>1.7428510357418082E-4</v>
      </c>
      <c r="M21">
        <v>-2.3098769764333529E-4</v>
      </c>
      <c r="N21">
        <v>3.1822674000486443E-3</v>
      </c>
      <c r="O21">
        <v>1.999478105573908E-3</v>
      </c>
      <c r="P21">
        <v>2.074949018415902E-3</v>
      </c>
      <c r="Q21">
        <v>2.0695245321026615E-3</v>
      </c>
      <c r="R21">
        <v>1.9223721205505304E-3</v>
      </c>
      <c r="S21">
        <v>1.9979021759454563E-3</v>
      </c>
      <c r="T21">
        <v>2.035905726771303E-3</v>
      </c>
      <c r="U21">
        <v>2.1444153358435888E-3</v>
      </c>
      <c r="V21">
        <v>4.8547631253826025E-3</v>
      </c>
      <c r="W21">
        <v>2.1692299485703507E-3</v>
      </c>
      <c r="X21">
        <v>2.1483080897297781E-3</v>
      </c>
      <c r="Y21">
        <v>3.7375573748300308E-5</v>
      </c>
      <c r="Z21">
        <v>-2.3159897235975203E-4</v>
      </c>
      <c r="AA21">
        <v>-6.1973785541321875E-5</v>
      </c>
      <c r="AB21">
        <v>1.514524222352927E-3</v>
      </c>
      <c r="AC21">
        <v>1.4559053981463461E-3</v>
      </c>
      <c r="AD21">
        <v>7.8678440231055879E-4</v>
      </c>
      <c r="AE21">
        <v>-2.0397632805028033E-3</v>
      </c>
    </row>
    <row r="22" spans="1:31" x14ac:dyDescent="0.2">
      <c r="A22" t="s">
        <v>91</v>
      </c>
      <c r="B22">
        <v>0.31004908426141664</v>
      </c>
      <c r="C22">
        <v>1.2448005771207535E-4</v>
      </c>
      <c r="D22">
        <v>-2.2908347989694994E-5</v>
      </c>
      <c r="E22">
        <v>2.1667575439644923E-7</v>
      </c>
      <c r="F22">
        <v>-1.1940016530965857E-4</v>
      </c>
      <c r="G22">
        <v>7.6982780498107391E-5</v>
      </c>
      <c r="H22">
        <v>-1.8854191502664901E-4</v>
      </c>
      <c r="I22">
        <v>-9.4582469483302098E-5</v>
      </c>
      <c r="J22">
        <v>1.5585587963811855E-4</v>
      </c>
      <c r="K22">
        <v>-1.451418057316514E-4</v>
      </c>
      <c r="L22">
        <v>9.7337681144175182E-5</v>
      </c>
      <c r="M22">
        <v>-2.6938116270627768E-5</v>
      </c>
      <c r="N22">
        <v>3.1435547327069552E-3</v>
      </c>
      <c r="O22">
        <v>2.0121885670932082E-3</v>
      </c>
      <c r="P22">
        <v>2.0639629857809889E-3</v>
      </c>
      <c r="Q22">
        <v>2.0691750100836283E-3</v>
      </c>
      <c r="R22">
        <v>1.9389262987207123E-3</v>
      </c>
      <c r="S22">
        <v>2.0126724201340192E-3</v>
      </c>
      <c r="T22">
        <v>2.029714717224029E-3</v>
      </c>
      <c r="U22">
        <v>2.1687200222657238E-3</v>
      </c>
      <c r="V22">
        <v>2.1692299485703507E-3</v>
      </c>
      <c r="W22">
        <v>3.664371578838436E-3</v>
      </c>
      <c r="X22">
        <v>2.1398599938155004E-3</v>
      </c>
      <c r="Y22">
        <v>4.7624133539269855E-5</v>
      </c>
      <c r="Z22">
        <v>-1.7500614898988224E-4</v>
      </c>
      <c r="AA22">
        <v>-1.6929627507078894E-4</v>
      </c>
      <c r="AB22">
        <v>1.4707595159853097E-3</v>
      </c>
      <c r="AC22">
        <v>1.672217093783838E-3</v>
      </c>
      <c r="AD22">
        <v>7.8061632887041954E-4</v>
      </c>
      <c r="AE22">
        <v>-2.5822634587402971E-3</v>
      </c>
    </row>
    <row r="23" spans="1:31" x14ac:dyDescent="0.2">
      <c r="A23" t="s">
        <v>92</v>
      </c>
      <c r="B23">
        <v>8.1358466826021575E-2</v>
      </c>
      <c r="C23">
        <v>-1.2836201470741088E-6</v>
      </c>
      <c r="D23">
        <v>-4.3565317670657649E-5</v>
      </c>
      <c r="E23">
        <v>4.9662054030533506E-7</v>
      </c>
      <c r="F23">
        <v>6.2980886319274833E-5</v>
      </c>
      <c r="G23">
        <v>3.9915073669890731E-5</v>
      </c>
      <c r="H23">
        <v>-4.5425032765538813E-4</v>
      </c>
      <c r="I23">
        <v>-1.4660338267036391E-4</v>
      </c>
      <c r="J23">
        <v>5.6874210539618344E-5</v>
      </c>
      <c r="K23">
        <v>-2.5574937353529367E-4</v>
      </c>
      <c r="L23">
        <v>1.5728634783357553E-4</v>
      </c>
      <c r="M23">
        <v>-2.6882193839425491E-4</v>
      </c>
      <c r="N23">
        <v>3.0151695719144093E-3</v>
      </c>
      <c r="O23">
        <v>1.9396630498642693E-3</v>
      </c>
      <c r="P23">
        <v>2.0144988424817285E-3</v>
      </c>
      <c r="Q23">
        <v>2.0124696073839377E-3</v>
      </c>
      <c r="R23">
        <v>1.8835303138133603E-3</v>
      </c>
      <c r="S23">
        <v>1.9511846087224675E-3</v>
      </c>
      <c r="T23">
        <v>2.0146060218779803E-3</v>
      </c>
      <c r="U23">
        <v>2.1158303218502027E-3</v>
      </c>
      <c r="V23">
        <v>2.1483080897297781E-3</v>
      </c>
      <c r="W23">
        <v>2.1398599938155004E-3</v>
      </c>
      <c r="X23">
        <v>5.0159838559309519E-3</v>
      </c>
      <c r="Y23">
        <v>2.9979152781779272E-5</v>
      </c>
      <c r="Z23">
        <v>-2.5643870882018945E-4</v>
      </c>
      <c r="AA23">
        <v>-2.116725336803537E-4</v>
      </c>
      <c r="AB23">
        <v>1.432463100252054E-3</v>
      </c>
      <c r="AC23">
        <v>1.4624738068730186E-3</v>
      </c>
      <c r="AD23">
        <v>7.5330486200407814E-4</v>
      </c>
      <c r="AE23">
        <v>-1.7869744446664783E-3</v>
      </c>
    </row>
    <row r="24" spans="1:31" x14ac:dyDescent="0.2">
      <c r="A24" t="s">
        <v>29</v>
      </c>
      <c r="B24">
        <v>-5.6203042559486854E-3</v>
      </c>
      <c r="C24">
        <v>1.2632098917312096E-5</v>
      </c>
      <c r="D24">
        <v>-2.7705035860264241E-6</v>
      </c>
      <c r="E24">
        <v>1.7684336779108729E-8</v>
      </c>
      <c r="F24">
        <v>1.0338857773224935E-5</v>
      </c>
      <c r="G24">
        <v>-1.2775813659420207E-5</v>
      </c>
      <c r="H24">
        <v>-1.6901313202647722E-5</v>
      </c>
      <c r="I24">
        <v>8.6582450540612554E-6</v>
      </c>
      <c r="J24">
        <v>4.9444502842137364E-5</v>
      </c>
      <c r="K24">
        <v>-2.4725191094068484E-5</v>
      </c>
      <c r="L24">
        <v>1.8778523879687974E-5</v>
      </c>
      <c r="M24">
        <v>3.1029077188906143E-6</v>
      </c>
      <c r="N24">
        <v>2.082264977921635E-4</v>
      </c>
      <c r="O24">
        <v>2.9961676209608985E-5</v>
      </c>
      <c r="P24">
        <v>3.8201934498807624E-5</v>
      </c>
      <c r="Q24">
        <v>3.0042541324264529E-5</v>
      </c>
      <c r="R24">
        <v>3.6970200092700296E-5</v>
      </c>
      <c r="S24">
        <v>3.0309737417623964E-5</v>
      </c>
      <c r="T24">
        <v>6.4061536440075028E-5</v>
      </c>
      <c r="U24">
        <v>5.8912052062536243E-5</v>
      </c>
      <c r="V24">
        <v>3.7375573748300308E-5</v>
      </c>
      <c r="W24">
        <v>4.7624133539269855E-5</v>
      </c>
      <c r="X24">
        <v>2.9979152781779272E-5</v>
      </c>
      <c r="Y24">
        <v>1.9767509493997328E-5</v>
      </c>
      <c r="Z24">
        <v>-8.2025943101328886E-5</v>
      </c>
      <c r="AA24">
        <v>-1.0049642072200077E-4</v>
      </c>
      <c r="AB24">
        <v>1.2518166736309182E-4</v>
      </c>
      <c r="AC24">
        <v>2.1606267075461135E-5</v>
      </c>
      <c r="AD24">
        <v>-1.4478247373090483E-5</v>
      </c>
      <c r="AE24">
        <v>-3.2435990444248952E-4</v>
      </c>
    </row>
    <row r="25" spans="1:31" x14ac:dyDescent="0.2">
      <c r="A25" t="s">
        <v>30</v>
      </c>
      <c r="B25">
        <v>-1.6606739423576362E-3</v>
      </c>
      <c r="C25">
        <v>-3.1810920168650703E-6</v>
      </c>
      <c r="D25">
        <v>3.0542130706681826E-5</v>
      </c>
      <c r="E25">
        <v>-3.0624105299518555E-7</v>
      </c>
      <c r="F25">
        <v>-9.3587457143861919E-5</v>
      </c>
      <c r="G25">
        <v>2.6876950715853704E-5</v>
      </c>
      <c r="H25">
        <v>5.9548363646428013E-5</v>
      </c>
      <c r="I25">
        <v>-5.0928508146146957E-5</v>
      </c>
      <c r="J25">
        <v>-2.865795904496207E-4</v>
      </c>
      <c r="K25">
        <v>1.0414505637354562E-4</v>
      </c>
      <c r="L25">
        <v>-9.4259592723630912E-5</v>
      </c>
      <c r="M25">
        <v>2.6424817529667222E-4</v>
      </c>
      <c r="N25">
        <v>-1.0256554875236028E-3</v>
      </c>
      <c r="O25">
        <v>-1.4089768065518739E-4</v>
      </c>
      <c r="P25">
        <v>-3.394434038218202E-5</v>
      </c>
      <c r="Q25">
        <v>-3.2407374999009414E-5</v>
      </c>
      <c r="R25">
        <v>-2.6165831213243937E-4</v>
      </c>
      <c r="S25">
        <v>-7.0286230303619733E-5</v>
      </c>
      <c r="T25">
        <v>-4.0593838477195275E-4</v>
      </c>
      <c r="U25">
        <v>-2.6456963249513101E-4</v>
      </c>
      <c r="V25">
        <v>-2.3159897235975203E-4</v>
      </c>
      <c r="W25">
        <v>-1.7500614898988224E-4</v>
      </c>
      <c r="X25">
        <v>-2.5643870882018945E-4</v>
      </c>
      <c r="Y25">
        <v>-8.2025943101328886E-5</v>
      </c>
      <c r="Z25">
        <v>3.408149475639929E-3</v>
      </c>
      <c r="AA25">
        <v>5.9139452195215161E-4</v>
      </c>
      <c r="AB25">
        <v>-5.81207309718711E-4</v>
      </c>
      <c r="AC25">
        <v>-1.5703388619074118E-4</v>
      </c>
      <c r="AD25">
        <v>5.6570712257434383E-5</v>
      </c>
      <c r="AE25">
        <v>8.8784809034023367E-4</v>
      </c>
    </row>
    <row r="26" spans="1:31" x14ac:dyDescent="0.2">
      <c r="A26" t="s">
        <v>31</v>
      </c>
      <c r="B26">
        <v>0.10466230451637747</v>
      </c>
      <c r="C26">
        <v>-3.4472130257758726E-5</v>
      </c>
      <c r="D26">
        <v>2.7402656989072296E-5</v>
      </c>
      <c r="E26">
        <v>-3.0427678367437073E-7</v>
      </c>
      <c r="F26">
        <v>-9.3260744186882214E-5</v>
      </c>
      <c r="G26">
        <v>1.1622451724160144E-4</v>
      </c>
      <c r="H26">
        <v>8.6695686877983144E-5</v>
      </c>
      <c r="I26">
        <v>-2.4038317696406335E-5</v>
      </c>
      <c r="J26">
        <v>-2.5445388119396586E-4</v>
      </c>
      <c r="K26">
        <v>9.7715183000182264E-5</v>
      </c>
      <c r="L26">
        <v>-8.812571430238009E-5</v>
      </c>
      <c r="M26">
        <v>9.1686937183785833E-6</v>
      </c>
      <c r="N26">
        <v>-9.3677406653447067E-4</v>
      </c>
      <c r="O26">
        <v>-6.8653332404716282E-5</v>
      </c>
      <c r="P26">
        <v>-2.4554929579476527E-5</v>
      </c>
      <c r="Q26">
        <v>-2.184661882017805E-4</v>
      </c>
      <c r="R26">
        <v>-4.6251060556510952E-5</v>
      </c>
      <c r="S26">
        <v>-3.5176259260117867E-5</v>
      </c>
      <c r="T26">
        <v>-3.5262706633726673E-4</v>
      </c>
      <c r="U26">
        <v>-3.3610535203274243E-4</v>
      </c>
      <c r="V26">
        <v>-6.1973785541321875E-5</v>
      </c>
      <c r="W26">
        <v>-1.6929627507078894E-4</v>
      </c>
      <c r="X26">
        <v>-2.116725336803537E-4</v>
      </c>
      <c r="Y26">
        <v>-1.0049642072200077E-4</v>
      </c>
      <c r="Z26">
        <v>5.9139452195215161E-4</v>
      </c>
      <c r="AA26">
        <v>3.1152265505895883E-3</v>
      </c>
      <c r="AB26">
        <v>-7.7528091337175772E-4</v>
      </c>
      <c r="AC26">
        <v>-1.3154552290294436E-4</v>
      </c>
      <c r="AD26">
        <v>-4.4723707751018774E-5</v>
      </c>
      <c r="AE26">
        <v>1.2270838558349924E-3</v>
      </c>
    </row>
    <row r="27" spans="1:31" x14ac:dyDescent="0.2">
      <c r="A27" t="s">
        <v>95</v>
      </c>
      <c r="B27">
        <v>0.14160826326093834</v>
      </c>
      <c r="C27">
        <v>6.0477517618111049E-4</v>
      </c>
      <c r="D27">
        <v>-1.1854956378226655E-4</v>
      </c>
      <c r="E27">
        <v>1.2692888125920662E-6</v>
      </c>
      <c r="F27">
        <v>-4.7773059988045759E-4</v>
      </c>
      <c r="G27">
        <v>-6.2858422007807779E-4</v>
      </c>
      <c r="H27">
        <v>-4.7673182004498205E-4</v>
      </c>
      <c r="I27">
        <v>5.4203152703894515E-5</v>
      </c>
      <c r="J27">
        <v>8.2473367522767241E-4</v>
      </c>
      <c r="K27">
        <v>-1.0295009551078563E-3</v>
      </c>
      <c r="L27">
        <v>4.1075427650261577E-4</v>
      </c>
      <c r="M27">
        <v>-4.0099037633441529E-4</v>
      </c>
      <c r="N27">
        <v>7.0598709556755571E-3</v>
      </c>
      <c r="O27">
        <v>9.3298076865486472E-4</v>
      </c>
      <c r="P27">
        <v>1.0916647770749877E-3</v>
      </c>
      <c r="Q27">
        <v>1.2099176869945236E-3</v>
      </c>
      <c r="R27">
        <v>6.5716476170966931E-4</v>
      </c>
      <c r="S27">
        <v>1.103602082379591E-3</v>
      </c>
      <c r="T27">
        <v>1.1288348069041262E-3</v>
      </c>
      <c r="U27">
        <v>1.5270212813485802E-3</v>
      </c>
      <c r="V27">
        <v>1.514524222352927E-3</v>
      </c>
      <c r="W27">
        <v>1.4707595159853097E-3</v>
      </c>
      <c r="X27">
        <v>1.432463100252054E-3</v>
      </c>
      <c r="Y27">
        <v>1.2518166736309182E-4</v>
      </c>
      <c r="Z27">
        <v>-5.81207309718711E-4</v>
      </c>
      <c r="AA27">
        <v>-7.7528091337175772E-4</v>
      </c>
      <c r="AB27">
        <v>6.8888204115378857E-3</v>
      </c>
      <c r="AC27">
        <v>1.1929535453354841E-3</v>
      </c>
      <c r="AD27">
        <v>6.7035997131727199E-4</v>
      </c>
      <c r="AE27">
        <v>-1.5413884345224825E-3</v>
      </c>
    </row>
    <row r="28" spans="1:31" x14ac:dyDescent="0.2">
      <c r="A28" t="s">
        <v>96</v>
      </c>
      <c r="B28">
        <v>0.40632798565635442</v>
      </c>
      <c r="C28">
        <v>8.069580291957787E-5</v>
      </c>
      <c r="D28">
        <v>-5.658828681326893E-5</v>
      </c>
      <c r="E28">
        <v>6.2122068248565686E-7</v>
      </c>
      <c r="F28">
        <v>1.6859177822882052E-5</v>
      </c>
      <c r="G28">
        <v>3.5445338969468268E-5</v>
      </c>
      <c r="H28">
        <v>-1.9079492907533581E-4</v>
      </c>
      <c r="I28">
        <v>-1.3320398073474724E-4</v>
      </c>
      <c r="J28">
        <v>2.7070077184794441E-5</v>
      </c>
      <c r="K28">
        <v>-1.5136788154061363E-4</v>
      </c>
      <c r="L28">
        <v>4.7552024761905764E-5</v>
      </c>
      <c r="M28">
        <v>-1.7181973304379432E-4</v>
      </c>
      <c r="N28">
        <v>2.1731994871559092E-3</v>
      </c>
      <c r="O28">
        <v>1.185069778657529E-3</v>
      </c>
      <c r="P28">
        <v>1.2499750297872677E-3</v>
      </c>
      <c r="Q28">
        <v>1.228117076180794E-3</v>
      </c>
      <c r="R28">
        <v>1.1468931081813141E-3</v>
      </c>
      <c r="S28">
        <v>1.1407855953632648E-3</v>
      </c>
      <c r="T28">
        <v>1.1590528229486561E-3</v>
      </c>
      <c r="U28">
        <v>1.3930633503678488E-3</v>
      </c>
      <c r="V28">
        <v>1.4559053981463461E-3</v>
      </c>
      <c r="W28">
        <v>1.672217093783838E-3</v>
      </c>
      <c r="X28">
        <v>1.4624738068730186E-3</v>
      </c>
      <c r="Y28">
        <v>2.1606267075461135E-5</v>
      </c>
      <c r="Z28">
        <v>-1.5703388619074118E-4</v>
      </c>
      <c r="AA28">
        <v>-1.3154552290294436E-4</v>
      </c>
      <c r="AB28">
        <v>1.1929535453354841E-3</v>
      </c>
      <c r="AC28">
        <v>3.8091956383684402E-3</v>
      </c>
      <c r="AD28">
        <v>6.474426863824418E-4</v>
      </c>
      <c r="AE28">
        <v>-7.403984710375581E-4</v>
      </c>
    </row>
    <row r="29" spans="1:31" x14ac:dyDescent="0.2">
      <c r="A29" t="s">
        <v>97</v>
      </c>
      <c r="B29">
        <v>1.5361541399724964E-2</v>
      </c>
      <c r="C29">
        <v>-2.1041596288475347E-5</v>
      </c>
      <c r="D29">
        <v>-1.1926405670077331E-5</v>
      </c>
      <c r="E29">
        <v>2.0044262487320569E-7</v>
      </c>
      <c r="F29">
        <v>-4.8213671506041819E-5</v>
      </c>
      <c r="G29">
        <v>-1.7365633713470121E-4</v>
      </c>
      <c r="H29">
        <v>-2.2315795013269852E-4</v>
      </c>
      <c r="I29">
        <v>-5.556329143079731E-5</v>
      </c>
      <c r="J29">
        <v>-8.0195715763269645E-5</v>
      </c>
      <c r="K29">
        <v>-1.1811815807068145E-4</v>
      </c>
      <c r="L29">
        <v>1.1075220689611603E-5</v>
      </c>
      <c r="M29">
        <v>-1.882914508196436E-4</v>
      </c>
      <c r="N29">
        <v>1.0532427520007054E-3</v>
      </c>
      <c r="O29">
        <v>7.5319129936459069E-4</v>
      </c>
      <c r="P29">
        <v>7.2373494921240992E-4</v>
      </c>
      <c r="Q29">
        <v>5.6193521275155526E-4</v>
      </c>
      <c r="R29">
        <v>5.358994147007445E-4</v>
      </c>
      <c r="S29">
        <v>4.9786495608999482E-4</v>
      </c>
      <c r="T29">
        <v>4.9662615422144596E-4</v>
      </c>
      <c r="U29">
        <v>7.2396155738154366E-4</v>
      </c>
      <c r="V29">
        <v>7.8678440231055879E-4</v>
      </c>
      <c r="W29">
        <v>7.8061632887041954E-4</v>
      </c>
      <c r="X29">
        <v>7.5330486200407814E-4</v>
      </c>
      <c r="Y29">
        <v>-1.4478247373090483E-5</v>
      </c>
      <c r="Z29">
        <v>5.6570712257434383E-5</v>
      </c>
      <c r="AA29">
        <v>-4.4723707751018774E-5</v>
      </c>
      <c r="AB29">
        <v>6.7035997131727199E-4</v>
      </c>
      <c r="AC29">
        <v>6.474426863824418E-4</v>
      </c>
      <c r="AD29">
        <v>4.0310681515771211E-3</v>
      </c>
      <c r="AE29">
        <v>-2.7185249879733129E-4</v>
      </c>
    </row>
    <row r="30" spans="1:31" x14ac:dyDescent="0.2">
      <c r="A30" t="s">
        <v>32</v>
      </c>
      <c r="B30">
        <v>2.181348967282942</v>
      </c>
      <c r="C30">
        <v>-1.039401517118948E-3</v>
      </c>
      <c r="D30">
        <v>-7.7764391810606097E-4</v>
      </c>
      <c r="E30">
        <v>8.9158206832766181E-6</v>
      </c>
      <c r="F30">
        <v>9.9202976536911201E-4</v>
      </c>
      <c r="G30">
        <v>-1.7770262701201356E-4</v>
      </c>
      <c r="H30">
        <v>5.5211871198980814E-4</v>
      </c>
      <c r="I30">
        <v>-1.7721255266411155E-3</v>
      </c>
      <c r="J30">
        <v>-2.4294698537371219E-3</v>
      </c>
      <c r="K30">
        <v>-4.5658149884078287E-4</v>
      </c>
      <c r="L30">
        <v>-1.0217551989990099E-4</v>
      </c>
      <c r="M30">
        <v>-8.0184920661098265E-4</v>
      </c>
      <c r="N30">
        <v>-4.2570894871861191E-3</v>
      </c>
      <c r="O30">
        <v>-2.4542278416740775E-3</v>
      </c>
      <c r="P30">
        <v>-2.4034062822546748E-3</v>
      </c>
      <c r="Q30">
        <v>-2.2222198181615057E-3</v>
      </c>
      <c r="R30">
        <v>-2.3932415620857416E-3</v>
      </c>
      <c r="S30">
        <v>-2.5746408895305651E-3</v>
      </c>
      <c r="T30">
        <v>-3.2075575297997681E-3</v>
      </c>
      <c r="U30">
        <v>-3.2389985641306579E-3</v>
      </c>
      <c r="V30">
        <v>-2.0397632805028033E-3</v>
      </c>
      <c r="W30">
        <v>-2.5822634587402971E-3</v>
      </c>
      <c r="X30">
        <v>-1.7869744446664783E-3</v>
      </c>
      <c r="Y30">
        <v>-3.2435990444248952E-4</v>
      </c>
      <c r="Z30">
        <v>8.8784809034023367E-4</v>
      </c>
      <c r="AA30">
        <v>1.2270838558349924E-3</v>
      </c>
      <c r="AB30">
        <v>-1.5413884345224825E-3</v>
      </c>
      <c r="AC30">
        <v>-7.403984710375581E-4</v>
      </c>
      <c r="AD30">
        <v>-2.7185249879733129E-4</v>
      </c>
      <c r="AE30">
        <v>2.3599902165275549E-2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3"/>
  <sheetViews>
    <sheetView workbookViewId="0"/>
  </sheetViews>
  <sheetFormatPr baseColWidth="10" defaultColWidth="8.83203125" defaultRowHeight="15" x14ac:dyDescent="0.2"/>
  <sheetData>
    <row r="1" spans="1:3" x14ac:dyDescent="0.2">
      <c r="A1" s="27" t="s">
        <v>54</v>
      </c>
      <c r="B1" s="28" t="s">
        <v>17</v>
      </c>
      <c r="C1" s="29" t="s">
        <v>18</v>
      </c>
    </row>
    <row r="2" spans="1:3" x14ac:dyDescent="0.2">
      <c r="A2" s="30" t="s">
        <v>45</v>
      </c>
      <c r="B2" s="31" t="s">
        <v>47</v>
      </c>
      <c r="C2" s="32">
        <v>0</v>
      </c>
    </row>
    <row r="3" spans="1:3" x14ac:dyDescent="0.2">
      <c r="A3" s="33" t="s">
        <v>45</v>
      </c>
      <c r="B3" s="34" t="s">
        <v>48</v>
      </c>
      <c r="C3" s="35">
        <v>-0.70269445766485306</v>
      </c>
    </row>
    <row r="4" spans="1:3" x14ac:dyDescent="0.2">
      <c r="A4" s="36" t="s">
        <v>45</v>
      </c>
      <c r="B4" s="37" t="s">
        <v>20</v>
      </c>
      <c r="C4" s="38">
        <v>0.70218657757178049</v>
      </c>
    </row>
    <row r="5" spans="1:3" x14ac:dyDescent="0.2">
      <c r="A5" s="39" t="s">
        <v>45</v>
      </c>
      <c r="B5" s="40" t="s">
        <v>21</v>
      </c>
      <c r="C5" s="41">
        <v>-9.1555150716850428E-3</v>
      </c>
    </row>
    <row r="6" spans="1:3" x14ac:dyDescent="0.2">
      <c r="A6" s="42" t="s">
        <v>45</v>
      </c>
      <c r="B6" s="43" t="s">
        <v>49</v>
      </c>
      <c r="C6" s="44">
        <v>0</v>
      </c>
    </row>
    <row r="7" spans="1:3" x14ac:dyDescent="0.2">
      <c r="A7" s="45" t="s">
        <v>45</v>
      </c>
      <c r="B7" s="46" t="s">
        <v>50</v>
      </c>
      <c r="C7" s="47">
        <v>-0.36235547327336504</v>
      </c>
    </row>
    <row r="8" spans="1:3" x14ac:dyDescent="0.2">
      <c r="A8" s="48" t="s">
        <v>45</v>
      </c>
      <c r="B8" s="49" t="s">
        <v>51</v>
      </c>
      <c r="C8" s="50">
        <v>0</v>
      </c>
    </row>
    <row r="9" spans="1:3" x14ac:dyDescent="0.2">
      <c r="A9" s="51" t="s">
        <v>45</v>
      </c>
      <c r="B9" s="52" t="s">
        <v>52</v>
      </c>
      <c r="C9" s="53">
        <v>-1.1278755901896758</v>
      </c>
    </row>
    <row r="10" spans="1:3" x14ac:dyDescent="0.2">
      <c r="A10" s="54" t="s">
        <v>45</v>
      </c>
      <c r="B10" s="55" t="s">
        <v>82</v>
      </c>
      <c r="C10" s="56">
        <v>-0.34052897375326996</v>
      </c>
    </row>
    <row r="11" spans="1:3" x14ac:dyDescent="0.2">
      <c r="A11" s="57" t="s">
        <v>45</v>
      </c>
      <c r="B11" s="58" t="s">
        <v>83</v>
      </c>
      <c r="C11" s="59">
        <v>-0.2058281598393048</v>
      </c>
    </row>
    <row r="12" spans="1:3" x14ac:dyDescent="0.2">
      <c r="A12" s="60" t="s">
        <v>45</v>
      </c>
      <c r="B12" s="61" t="s">
        <v>84</v>
      </c>
      <c r="C12" s="62">
        <v>0.28530113479044394</v>
      </c>
    </row>
    <row r="13" spans="1:3" x14ac:dyDescent="0.2">
      <c r="A13" s="63" t="s">
        <v>45</v>
      </c>
      <c r="B13" s="64" t="s">
        <v>85</v>
      </c>
      <c r="C13" s="65">
        <v>7.21340824023185E-2</v>
      </c>
    </row>
    <row r="14" spans="1:3" x14ac:dyDescent="0.2">
      <c r="A14" s="66" t="s">
        <v>45</v>
      </c>
      <c r="B14" s="67" t="s">
        <v>86</v>
      </c>
      <c r="C14" s="68">
        <v>1.6402789869466854E-3</v>
      </c>
    </row>
    <row r="15" spans="1:3" x14ac:dyDescent="0.2">
      <c r="A15" s="69" t="s">
        <v>45</v>
      </c>
      <c r="B15" s="70" t="s">
        <v>87</v>
      </c>
      <c r="C15" s="71">
        <v>9.3481552337342746E-2</v>
      </c>
    </row>
    <row r="16" spans="1:3" x14ac:dyDescent="0.2">
      <c r="A16" s="72" t="s">
        <v>45</v>
      </c>
      <c r="B16" s="73" t="s">
        <v>88</v>
      </c>
      <c r="C16" s="74">
        <v>0.12025768533892987</v>
      </c>
    </row>
    <row r="17" spans="1:3" x14ac:dyDescent="0.2">
      <c r="A17" s="75" t="s">
        <v>45</v>
      </c>
      <c r="B17" s="76" t="s">
        <v>89</v>
      </c>
      <c r="C17" s="77">
        <v>-0.18487126222889116</v>
      </c>
    </row>
    <row r="18" spans="1:3" x14ac:dyDescent="0.2">
      <c r="A18" s="78" t="s">
        <v>45</v>
      </c>
      <c r="B18" s="79" t="s">
        <v>90</v>
      </c>
      <c r="C18" s="80">
        <v>-0.21853624108916542</v>
      </c>
    </row>
    <row r="19" spans="1:3" x14ac:dyDescent="0.2">
      <c r="A19" s="81" t="s">
        <v>45</v>
      </c>
      <c r="B19" s="82" t="s">
        <v>91</v>
      </c>
      <c r="C19" s="83">
        <v>0.64321632479212854</v>
      </c>
    </row>
    <row r="20" spans="1:3" x14ac:dyDescent="0.2">
      <c r="A20" s="84" t="s">
        <v>45</v>
      </c>
      <c r="B20" s="85" t="s">
        <v>92</v>
      </c>
      <c r="C20" s="86">
        <v>-0.74273764435127942</v>
      </c>
    </row>
    <row r="21" spans="1:3" x14ac:dyDescent="0.2">
      <c r="A21" s="87" t="s">
        <v>45</v>
      </c>
      <c r="B21" s="88" t="s">
        <v>29</v>
      </c>
      <c r="C21" s="89">
        <v>-4.3988276084717171E-2</v>
      </c>
    </row>
    <row r="22" spans="1:3" x14ac:dyDescent="0.2">
      <c r="A22" s="90" t="s">
        <v>45</v>
      </c>
      <c r="B22" s="91" t="s">
        <v>30</v>
      </c>
      <c r="C22" s="92">
        <v>-4.5405195871937795E-2</v>
      </c>
    </row>
    <row r="23" spans="1:3" x14ac:dyDescent="0.2">
      <c r="A23" s="93" t="s">
        <v>45</v>
      </c>
      <c r="B23" s="94" t="s">
        <v>31</v>
      </c>
      <c r="C23" s="95">
        <v>-7.4294877844903618E-3</v>
      </c>
    </row>
    <row r="24" spans="1:3" x14ac:dyDescent="0.2">
      <c r="A24" s="96" t="s">
        <v>45</v>
      </c>
      <c r="B24" s="97" t="s">
        <v>95</v>
      </c>
      <c r="C24" s="98">
        <v>0.45087035665853153</v>
      </c>
    </row>
    <row r="25" spans="1:3" x14ac:dyDescent="0.2">
      <c r="A25" s="99" t="s">
        <v>45</v>
      </c>
      <c r="B25" s="100" t="s">
        <v>96</v>
      </c>
      <c r="C25" s="101">
        <v>-0.86159610151550126</v>
      </c>
    </row>
    <row r="26" spans="1:3" x14ac:dyDescent="0.2">
      <c r="A26" s="102" t="s">
        <v>45</v>
      </c>
      <c r="B26" s="103" t="s">
        <v>97</v>
      </c>
      <c r="C26" s="104">
        <v>-0.16428306254176392</v>
      </c>
    </row>
    <row r="27" spans="1:3" x14ac:dyDescent="0.2">
      <c r="A27" s="105" t="s">
        <v>45</v>
      </c>
      <c r="B27" s="106" t="s">
        <v>53</v>
      </c>
      <c r="C27" s="107">
        <v>-5.2845058657298729</v>
      </c>
    </row>
    <row r="28" spans="1:3" x14ac:dyDescent="0.2">
      <c r="A28" s="108" t="s">
        <v>46</v>
      </c>
      <c r="B28" s="109" t="s">
        <v>47</v>
      </c>
      <c r="C28" s="110">
        <v>0</v>
      </c>
    </row>
    <row r="29" spans="1:3" x14ac:dyDescent="0.2">
      <c r="A29" s="111" t="s">
        <v>46</v>
      </c>
      <c r="B29" s="112" t="s">
        <v>48</v>
      </c>
      <c r="C29" s="113">
        <v>8.7228707549752718E-2</v>
      </c>
    </row>
    <row r="30" spans="1:3" x14ac:dyDescent="0.2">
      <c r="A30" s="114" t="s">
        <v>46</v>
      </c>
      <c r="B30" s="115" t="s">
        <v>20</v>
      </c>
      <c r="C30" s="116">
        <v>1.1147671940973094</v>
      </c>
    </row>
    <row r="31" spans="1:3" x14ac:dyDescent="0.2">
      <c r="A31" s="117" t="s">
        <v>46</v>
      </c>
      <c r="B31" s="118" t="s">
        <v>21</v>
      </c>
      <c r="C31" s="119">
        <v>-1.4490874588886074E-2</v>
      </c>
    </row>
    <row r="32" spans="1:3" x14ac:dyDescent="0.2">
      <c r="A32" s="120" t="s">
        <v>46</v>
      </c>
      <c r="B32" s="121" t="s">
        <v>49</v>
      </c>
      <c r="C32" s="122">
        <v>0</v>
      </c>
    </row>
    <row r="33" spans="1:3" x14ac:dyDescent="0.2">
      <c r="A33" s="123" t="s">
        <v>46</v>
      </c>
      <c r="B33" s="124" t="s">
        <v>50</v>
      </c>
      <c r="C33" s="125">
        <v>-0.36235547327336504</v>
      </c>
    </row>
    <row r="34" spans="1:3" x14ac:dyDescent="0.2">
      <c r="A34" s="126" t="s">
        <v>46</v>
      </c>
      <c r="B34" s="127" t="s">
        <v>51</v>
      </c>
      <c r="C34" s="128">
        <v>0</v>
      </c>
    </row>
    <row r="35" spans="1:3" x14ac:dyDescent="0.2">
      <c r="A35" s="129" t="s">
        <v>46</v>
      </c>
      <c r="B35" s="130" t="s">
        <v>52</v>
      </c>
      <c r="C35" s="131">
        <v>-1.1278755901896758</v>
      </c>
    </row>
    <row r="36" spans="1:3" x14ac:dyDescent="0.2">
      <c r="A36" s="132" t="s">
        <v>46</v>
      </c>
      <c r="B36" s="133" t="s">
        <v>82</v>
      </c>
      <c r="C36" s="134">
        <v>-0.34052897375326996</v>
      </c>
    </row>
    <row r="37" spans="1:3" x14ac:dyDescent="0.2">
      <c r="A37" s="135" t="s">
        <v>46</v>
      </c>
      <c r="B37" s="136" t="s">
        <v>83</v>
      </c>
      <c r="C37" s="137">
        <v>-0.2058281598393048</v>
      </c>
    </row>
    <row r="38" spans="1:3" x14ac:dyDescent="0.2">
      <c r="A38" s="138" t="s">
        <v>46</v>
      </c>
      <c r="B38" s="139" t="s">
        <v>84</v>
      </c>
      <c r="C38" s="140">
        <v>-0.46286116848422726</v>
      </c>
    </row>
    <row r="39" spans="1:3" x14ac:dyDescent="0.2">
      <c r="A39" s="141" t="s">
        <v>46</v>
      </c>
      <c r="B39" s="142" t="s">
        <v>85</v>
      </c>
      <c r="C39" s="143">
        <v>7.21340824023185E-2</v>
      </c>
    </row>
    <row r="40" spans="1:3" x14ac:dyDescent="0.2">
      <c r="A40" s="144" t="s">
        <v>46</v>
      </c>
      <c r="B40" s="145" t="s">
        <v>86</v>
      </c>
      <c r="C40" s="146">
        <v>1.6402789869466854E-3</v>
      </c>
    </row>
    <row r="41" spans="1:3" x14ac:dyDescent="0.2">
      <c r="A41" s="147" t="s">
        <v>46</v>
      </c>
      <c r="B41" s="148" t="s">
        <v>87</v>
      </c>
      <c r="C41" s="149">
        <v>9.3481552337342746E-2</v>
      </c>
    </row>
    <row r="42" spans="1:3" x14ac:dyDescent="0.2">
      <c r="A42" s="150" t="s">
        <v>46</v>
      </c>
      <c r="B42" s="151" t="s">
        <v>88</v>
      </c>
      <c r="C42" s="152">
        <v>0.12025768533892987</v>
      </c>
    </row>
    <row r="43" spans="1:3" x14ac:dyDescent="0.2">
      <c r="A43" s="153" t="s">
        <v>46</v>
      </c>
      <c r="B43" s="154" t="s">
        <v>89</v>
      </c>
      <c r="C43" s="155">
        <v>-0.18487126222889116</v>
      </c>
    </row>
    <row r="44" spans="1:3" x14ac:dyDescent="0.2">
      <c r="A44" s="156" t="s">
        <v>46</v>
      </c>
      <c r="B44" s="157" t="s">
        <v>90</v>
      </c>
      <c r="C44" s="158">
        <v>-0.21853624108916542</v>
      </c>
    </row>
    <row r="45" spans="1:3" x14ac:dyDescent="0.2">
      <c r="A45" s="159" t="s">
        <v>46</v>
      </c>
      <c r="B45" s="160" t="s">
        <v>91</v>
      </c>
      <c r="C45" s="161">
        <v>-0.69714558169245056</v>
      </c>
    </row>
    <row r="46" spans="1:3" x14ac:dyDescent="0.2">
      <c r="A46" s="162" t="s">
        <v>46</v>
      </c>
      <c r="B46" s="163" t="s">
        <v>92</v>
      </c>
      <c r="C46" s="164">
        <v>-8.3509875930031396E-2</v>
      </c>
    </row>
    <row r="47" spans="1:3" x14ac:dyDescent="0.2">
      <c r="A47" s="165" t="s">
        <v>46</v>
      </c>
      <c r="B47" s="166" t="s">
        <v>29</v>
      </c>
      <c r="C47" s="167">
        <v>2.4101308431615596E-2</v>
      </c>
    </row>
    <row r="48" spans="1:3" x14ac:dyDescent="0.2">
      <c r="A48" s="168" t="s">
        <v>46</v>
      </c>
      <c r="B48" s="169" t="s">
        <v>30</v>
      </c>
      <c r="C48" s="170">
        <v>-4.5405195871937795E-2</v>
      </c>
    </row>
    <row r="49" spans="1:3" x14ac:dyDescent="0.2">
      <c r="A49" s="171" t="s">
        <v>46</v>
      </c>
      <c r="B49" s="172" t="s">
        <v>31</v>
      </c>
      <c r="C49" s="173">
        <v>-7.4294877844903618E-3</v>
      </c>
    </row>
    <row r="50" spans="1:3" x14ac:dyDescent="0.2">
      <c r="A50" s="174" t="s">
        <v>46</v>
      </c>
      <c r="B50" s="175" t="s">
        <v>95</v>
      </c>
      <c r="C50" s="176">
        <v>0.45087035665853153</v>
      </c>
    </row>
    <row r="51" spans="1:3" x14ac:dyDescent="0.2">
      <c r="A51" s="177" t="s">
        <v>46</v>
      </c>
      <c r="B51" s="178" t="s">
        <v>96</v>
      </c>
      <c r="C51" s="179">
        <v>-0.86159610151550126</v>
      </c>
    </row>
    <row r="52" spans="1:3" x14ac:dyDescent="0.2">
      <c r="A52" s="180" t="s">
        <v>46</v>
      </c>
      <c r="B52" s="181" t="s">
        <v>97</v>
      </c>
      <c r="C52" s="182">
        <v>-0.16428306254176392</v>
      </c>
    </row>
    <row r="53" spans="1:3" x14ac:dyDescent="0.2">
      <c r="A53" s="183" t="s">
        <v>46</v>
      </c>
      <c r="B53" s="184" t="s">
        <v>53</v>
      </c>
      <c r="C53" s="185">
        <v>-17.698016357160988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2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17</v>
      </c>
      <c r="B1" t="s">
        <v>18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111</v>
      </c>
      <c r="I1" t="s">
        <v>112</v>
      </c>
      <c r="J1" t="s">
        <v>104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105</v>
      </c>
      <c r="R1" t="s">
        <v>106</v>
      </c>
      <c r="S1" t="s">
        <v>60</v>
      </c>
      <c r="T1" t="s">
        <v>61</v>
      </c>
      <c r="U1" t="s">
        <v>62</v>
      </c>
      <c r="V1" t="s">
        <v>119</v>
      </c>
      <c r="W1" t="s">
        <v>120</v>
      </c>
      <c r="X1" t="s">
        <v>121</v>
      </c>
      <c r="Y1" t="s">
        <v>63</v>
      </c>
      <c r="Z1" t="s">
        <v>64</v>
      </c>
      <c r="AA1" t="s">
        <v>65</v>
      </c>
      <c r="AB1" t="s">
        <v>66</v>
      </c>
      <c r="AC1" t="s">
        <v>107</v>
      </c>
      <c r="AD1" t="s">
        <v>108</v>
      </c>
      <c r="AE1" t="s">
        <v>109</v>
      </c>
      <c r="AF1" t="s">
        <v>67</v>
      </c>
      <c r="AG1" t="s">
        <v>68</v>
      </c>
    </row>
    <row r="2" spans="1:33" x14ac:dyDescent="0.2">
      <c r="A2" t="s">
        <v>55</v>
      </c>
      <c r="B2">
        <v>-0.70269445766485306</v>
      </c>
      <c r="C2">
        <v>3.2208401601190012E-2</v>
      </c>
      <c r="D2">
        <v>2.7407987289057648E-3</v>
      </c>
      <c r="E2">
        <v>-3.1163250571207988E-5</v>
      </c>
      <c r="F2">
        <v>4.9847787419236996E-4</v>
      </c>
      <c r="G2">
        <v>2.7391043365097116E-3</v>
      </c>
      <c r="H2">
        <v>3.1834865868883015E-3</v>
      </c>
      <c r="I2">
        <v>4.9504868404542926E-3</v>
      </c>
      <c r="J2">
        <v>-1.479183394594097E-3</v>
      </c>
      <c r="K2">
        <v>1.7945406264586767E-3</v>
      </c>
      <c r="L2">
        <v>2.3315150607587346E-3</v>
      </c>
      <c r="M2">
        <v>1.6109724506258743E-3</v>
      </c>
      <c r="N2">
        <v>-1.1145026629324398E-4</v>
      </c>
      <c r="O2">
        <v>3.3125687521306378E-3</v>
      </c>
      <c r="P2">
        <v>1.7907142156422919E-3</v>
      </c>
      <c r="Q2">
        <v>5.4557073829172137E-4</v>
      </c>
      <c r="R2">
        <v>-1.4972688916285266E-3</v>
      </c>
      <c r="S2">
        <v>6.0184677877622467E-4</v>
      </c>
      <c r="T2">
        <v>-3.5635570310184371E-3</v>
      </c>
      <c r="U2">
        <v>9.8041815948174339E-4</v>
      </c>
      <c r="V2">
        <v>-4.5977165580388145E-4</v>
      </c>
      <c r="W2">
        <v>2.5485860299076452E-3</v>
      </c>
      <c r="X2">
        <v>3.7386249711579651E-3</v>
      </c>
      <c r="Y2">
        <v>-7.2169175629325497E-2</v>
      </c>
      <c r="Z2">
        <v>1.296066040519306E-3</v>
      </c>
      <c r="AA2">
        <v>1.4108071383442776E-4</v>
      </c>
      <c r="AB2">
        <v>-2.2392802679362259E-6</v>
      </c>
      <c r="AC2">
        <v>1.6214221263064741E-3</v>
      </c>
      <c r="AD2">
        <v>2.0130624461740057E-3</v>
      </c>
      <c r="AE2">
        <v>1.9343270299386271E-3</v>
      </c>
      <c r="AF2">
        <v>2.4415076002947672E-5</v>
      </c>
      <c r="AG2">
        <v>-5.4443406323853808E-3</v>
      </c>
    </row>
    <row r="3" spans="1:33" x14ac:dyDescent="0.2">
      <c r="A3" t="s">
        <v>56</v>
      </c>
      <c r="B3">
        <v>0.70218657757178049</v>
      </c>
      <c r="C3">
        <v>2.7407987289057648E-3</v>
      </c>
      <c r="D3">
        <v>8.7989685511449707E-3</v>
      </c>
      <c r="E3">
        <v>-1.1781984088505858E-4</v>
      </c>
      <c r="F3">
        <v>3.6402862670415419E-4</v>
      </c>
      <c r="G3">
        <v>1.934758034665172E-3</v>
      </c>
      <c r="H3">
        <v>-2.8778365819440285E-4</v>
      </c>
      <c r="I3">
        <v>2.7231582824807491E-3</v>
      </c>
      <c r="J3">
        <v>1.1639782079703202E-3</v>
      </c>
      <c r="K3">
        <v>5.976146295383301E-4</v>
      </c>
      <c r="L3">
        <v>8.3061413799447319E-4</v>
      </c>
      <c r="M3">
        <v>8.4027759407788189E-4</v>
      </c>
      <c r="N3">
        <v>4.8447733170660042E-4</v>
      </c>
      <c r="O3">
        <v>8.1410184015400433E-4</v>
      </c>
      <c r="P3">
        <v>9.4892192186931974E-4</v>
      </c>
      <c r="Q3">
        <v>1.7837676807480106E-3</v>
      </c>
      <c r="R3">
        <v>-3.0577936608281262E-3</v>
      </c>
      <c r="S3">
        <v>-1.1293611721840653E-4</v>
      </c>
      <c r="T3">
        <v>-4.1795842849915615E-4</v>
      </c>
      <c r="U3">
        <v>-3.4500397144435126E-4</v>
      </c>
      <c r="V3">
        <v>-1.3589635168299746E-3</v>
      </c>
      <c r="W3">
        <v>-1.6498625075958666E-3</v>
      </c>
      <c r="X3">
        <v>-1.4050919857781995E-3</v>
      </c>
      <c r="Y3">
        <v>-0.12293403970501089</v>
      </c>
      <c r="Z3">
        <v>3.0497437226673671E-4</v>
      </c>
      <c r="AA3">
        <v>9.8439901883286057E-4</v>
      </c>
      <c r="AB3">
        <v>-1.2080898048584369E-5</v>
      </c>
      <c r="AC3">
        <v>9.3142613008493844E-5</v>
      </c>
      <c r="AD3">
        <v>2.7485515313993569E-5</v>
      </c>
      <c r="AE3">
        <v>5.4043520880090075E-5</v>
      </c>
      <c r="AF3">
        <v>5.2830963726673138E-5</v>
      </c>
      <c r="AG3">
        <v>-1.6776751880321877E-2</v>
      </c>
    </row>
    <row r="4" spans="1:33" x14ac:dyDescent="0.2">
      <c r="A4" t="s">
        <v>57</v>
      </c>
      <c r="B4">
        <v>-9.1555150716850428E-3</v>
      </c>
      <c r="C4">
        <v>-3.1163250571207988E-5</v>
      </c>
      <c r="D4">
        <v>-1.1781984088505858E-4</v>
      </c>
      <c r="E4">
        <v>1.6207161528020124E-6</v>
      </c>
      <c r="F4">
        <v>-4.7931048560529054E-6</v>
      </c>
      <c r="G4">
        <v>-2.6042617564001476E-5</v>
      </c>
      <c r="H4">
        <v>4.830373586638485E-6</v>
      </c>
      <c r="I4">
        <v>-3.448367481680335E-5</v>
      </c>
      <c r="J4">
        <v>-1.4655702526788343E-5</v>
      </c>
      <c r="K4">
        <v>-6.8697254969573249E-6</v>
      </c>
      <c r="L4">
        <v>-8.3008945005172207E-6</v>
      </c>
      <c r="M4">
        <v>-9.7908584184550823E-6</v>
      </c>
      <c r="N4">
        <v>-5.712008292746544E-6</v>
      </c>
      <c r="O4">
        <v>-1.054546093994168E-5</v>
      </c>
      <c r="P4">
        <v>-1.4084719315127322E-5</v>
      </c>
      <c r="Q4">
        <v>-2.9908500068114785E-5</v>
      </c>
      <c r="R4">
        <v>4.1880505237868726E-5</v>
      </c>
      <c r="S4">
        <v>1.3630680587301616E-6</v>
      </c>
      <c r="T4">
        <v>2.9598750945230233E-6</v>
      </c>
      <c r="U4">
        <v>7.7349166121779277E-6</v>
      </c>
      <c r="V4">
        <v>2.066226404911104E-5</v>
      </c>
      <c r="W4">
        <v>2.0133772081613983E-5</v>
      </c>
      <c r="X4">
        <v>1.8507136399817013E-5</v>
      </c>
      <c r="Y4">
        <v>1.6276532469962786E-3</v>
      </c>
      <c r="Z4">
        <v>-3.8907545340972433E-6</v>
      </c>
      <c r="AA4">
        <v>-1.2660664733080704E-5</v>
      </c>
      <c r="AB4">
        <v>1.6013524162375998E-7</v>
      </c>
      <c r="AC4">
        <v>-1.4683672454909757E-6</v>
      </c>
      <c r="AD4">
        <v>-2.7693475177948144E-7</v>
      </c>
      <c r="AE4">
        <v>-1.9349686202412919E-7</v>
      </c>
      <c r="AF4">
        <v>-7.3495470283563946E-7</v>
      </c>
      <c r="AG4">
        <v>2.1417812057509741E-4</v>
      </c>
    </row>
    <row r="5" spans="1:33" x14ac:dyDescent="0.2">
      <c r="A5" t="s">
        <v>58</v>
      </c>
      <c r="B5">
        <v>-0.36235547327336504</v>
      </c>
      <c r="C5">
        <v>4.9847787419236996E-4</v>
      </c>
      <c r="D5">
        <v>3.6402862670415419E-4</v>
      </c>
      <c r="E5">
        <v>-4.7931048560529054E-6</v>
      </c>
      <c r="F5">
        <v>1.0296422647794668E-2</v>
      </c>
      <c r="G5">
        <v>8.1790532502387363E-3</v>
      </c>
      <c r="H5">
        <v>-1.6163781473625361E-3</v>
      </c>
      <c r="I5">
        <v>-1.5508914463618307E-3</v>
      </c>
      <c r="J5">
        <v>-1.1240082800660607E-3</v>
      </c>
      <c r="K5">
        <v>-1.4831152867407814E-3</v>
      </c>
      <c r="L5">
        <v>-1.8475610874156465E-3</v>
      </c>
      <c r="M5">
        <v>-1.3938392022938271E-3</v>
      </c>
      <c r="N5">
        <v>-2.4696333074093325E-3</v>
      </c>
      <c r="O5">
        <v>-1.7372612986792766E-3</v>
      </c>
      <c r="P5">
        <v>-1.7463058968216197E-3</v>
      </c>
      <c r="Q5">
        <v>-3.4934465881441938E-4</v>
      </c>
      <c r="R5">
        <v>-1.7154973025414952E-3</v>
      </c>
      <c r="S5">
        <v>-1.4315468432108143E-4</v>
      </c>
      <c r="T5">
        <v>8.8219716213697467E-4</v>
      </c>
      <c r="U5">
        <v>8.6466648788222284E-4</v>
      </c>
      <c r="V5">
        <v>-4.4321659117040405E-6</v>
      </c>
      <c r="W5">
        <v>5.7092531632757168E-4</v>
      </c>
      <c r="X5">
        <v>1.3621918000582254E-3</v>
      </c>
      <c r="Y5">
        <v>-1.0245655870252099E-2</v>
      </c>
      <c r="Z5">
        <v>2.0840632801047681E-4</v>
      </c>
      <c r="AA5">
        <v>1.6125756423785885E-4</v>
      </c>
      <c r="AB5">
        <v>-2.1310125345773567E-6</v>
      </c>
      <c r="AC5">
        <v>-2.6049744252340827E-3</v>
      </c>
      <c r="AD5">
        <v>-1.051349563783441E-3</v>
      </c>
      <c r="AE5">
        <v>-2.2312664703253342E-3</v>
      </c>
      <c r="AF5">
        <v>1.1258851822526993E-4</v>
      </c>
      <c r="AG5">
        <v>-1.0833100352914543E-2</v>
      </c>
    </row>
    <row r="6" spans="1:33" x14ac:dyDescent="0.2">
      <c r="A6" t="s">
        <v>59</v>
      </c>
      <c r="B6">
        <v>-1.1278755901896758</v>
      </c>
      <c r="C6">
        <v>2.7391043365097116E-3</v>
      </c>
      <c r="D6">
        <v>1.934758034665172E-3</v>
      </c>
      <c r="E6">
        <v>-2.6042617564001476E-5</v>
      </c>
      <c r="F6">
        <v>8.1790532502387363E-3</v>
      </c>
      <c r="G6">
        <v>2.006629667157777E-2</v>
      </c>
      <c r="H6">
        <v>-4.5136254322717968E-3</v>
      </c>
      <c r="I6">
        <v>-1.5312244912461682E-3</v>
      </c>
      <c r="J6">
        <v>-3.9665073172381864E-3</v>
      </c>
      <c r="K6">
        <v>-4.4304324296518269E-3</v>
      </c>
      <c r="L6">
        <v>-3.4544642184912979E-3</v>
      </c>
      <c r="M6">
        <v>-3.088082138162002E-3</v>
      </c>
      <c r="N6">
        <v>-4.6784209674349403E-3</v>
      </c>
      <c r="O6">
        <v>-3.2732261451634218E-3</v>
      </c>
      <c r="P6">
        <v>-2.3100351783021588E-3</v>
      </c>
      <c r="Q6">
        <v>-4.3231812330670801E-3</v>
      </c>
      <c r="R6">
        <v>-5.5637218128643338E-3</v>
      </c>
      <c r="S6">
        <v>2.4531556716808124E-4</v>
      </c>
      <c r="T6">
        <v>1.4314191509574685E-3</v>
      </c>
      <c r="U6">
        <v>-8.8314197229494816E-6</v>
      </c>
      <c r="V6">
        <v>-3.9281473112822429E-3</v>
      </c>
      <c r="W6">
        <v>-3.181520623208851E-3</v>
      </c>
      <c r="X6">
        <v>1.8775371663116134E-3</v>
      </c>
      <c r="Y6">
        <v>-3.950438155185939E-2</v>
      </c>
      <c r="Z6">
        <v>5.8251317222972093E-4</v>
      </c>
      <c r="AA6">
        <v>7.4526145419232751E-5</v>
      </c>
      <c r="AB6">
        <v>-3.8387189465763679E-6</v>
      </c>
      <c r="AC6">
        <v>-3.3271849265440463E-3</v>
      </c>
      <c r="AD6">
        <v>-3.1326169314584889E-3</v>
      </c>
      <c r="AE6">
        <v>-5.0464726266827159E-3</v>
      </c>
      <c r="AF6">
        <v>1.7632230829250087E-4</v>
      </c>
      <c r="AG6">
        <v>-7.701336260877753E-3</v>
      </c>
    </row>
    <row r="7" spans="1:33" x14ac:dyDescent="0.2">
      <c r="A7" t="s">
        <v>111</v>
      </c>
      <c r="B7">
        <v>-0.34052897375326996</v>
      </c>
      <c r="C7">
        <v>3.1834865868883015E-3</v>
      </c>
      <c r="D7">
        <v>-2.8778365819440285E-4</v>
      </c>
      <c r="E7">
        <v>4.830373586638485E-6</v>
      </c>
      <c r="F7">
        <v>-1.6163781473625361E-3</v>
      </c>
      <c r="G7">
        <v>-4.5136254322717968E-3</v>
      </c>
      <c r="H7">
        <v>5.7626219758262959E-2</v>
      </c>
      <c r="I7">
        <v>2.2777250765315601E-2</v>
      </c>
      <c r="J7">
        <v>2.5194996974686464E-2</v>
      </c>
      <c r="K7">
        <v>2.3695861361299024E-2</v>
      </c>
      <c r="L7">
        <v>2.233660643885016E-2</v>
      </c>
      <c r="M7">
        <v>2.3010910262321577E-2</v>
      </c>
      <c r="N7">
        <v>2.3080638010663755E-2</v>
      </c>
      <c r="O7">
        <v>2.357955783832813E-2</v>
      </c>
      <c r="P7">
        <v>2.406959692484258E-2</v>
      </c>
      <c r="Q7">
        <v>2.5488071769765749E-2</v>
      </c>
      <c r="R7">
        <v>2.6061251600414278E-2</v>
      </c>
      <c r="S7">
        <v>-3.1298881330993626E-4</v>
      </c>
      <c r="T7">
        <v>-2.9879194098648451E-3</v>
      </c>
      <c r="U7">
        <v>-8.639630893797184E-4</v>
      </c>
      <c r="V7">
        <v>8.7728127160633593E-3</v>
      </c>
      <c r="W7">
        <v>2.1999387826007428E-2</v>
      </c>
      <c r="X7">
        <v>3.9831604681052173E-3</v>
      </c>
      <c r="Y7">
        <v>-1.6334310258547591E-2</v>
      </c>
      <c r="Z7">
        <v>8.6137508297697105E-4</v>
      </c>
      <c r="AA7">
        <v>-1.283376197510587E-4</v>
      </c>
      <c r="AB7">
        <v>1.4208576677604036E-6</v>
      </c>
      <c r="AC7">
        <v>2.1912014940956945E-2</v>
      </c>
      <c r="AD7">
        <v>2.4904118442920998E-2</v>
      </c>
      <c r="AE7">
        <v>2.4085959116260228E-2</v>
      </c>
      <c r="AF7">
        <v>-1.3716259608831469E-4</v>
      </c>
      <c r="AG7">
        <v>-1.7679969762903994E-2</v>
      </c>
    </row>
    <row r="8" spans="1:33" x14ac:dyDescent="0.2">
      <c r="A8" t="s">
        <v>112</v>
      </c>
      <c r="B8">
        <v>-0.2058281598393048</v>
      </c>
      <c r="C8">
        <v>4.9504868404542926E-3</v>
      </c>
      <c r="D8">
        <v>2.7231582824807491E-3</v>
      </c>
      <c r="E8">
        <v>-3.448367481680335E-5</v>
      </c>
      <c r="F8">
        <v>-1.5508914463618307E-3</v>
      </c>
      <c r="G8">
        <v>-1.5312244912461682E-3</v>
      </c>
      <c r="H8">
        <v>2.2777250765315601E-2</v>
      </c>
      <c r="I8">
        <v>3.6824145578089253E-2</v>
      </c>
      <c r="J8">
        <v>2.3208273244349598E-2</v>
      </c>
      <c r="K8">
        <v>2.2715994503629013E-2</v>
      </c>
      <c r="L8">
        <v>2.1764727530585663E-2</v>
      </c>
      <c r="M8">
        <v>2.2330298056041007E-2</v>
      </c>
      <c r="N8">
        <v>2.2146718441592581E-2</v>
      </c>
      <c r="O8">
        <v>2.2717850935751006E-2</v>
      </c>
      <c r="P8">
        <v>2.3128880646161549E-2</v>
      </c>
      <c r="Q8">
        <v>2.3344228782686174E-2</v>
      </c>
      <c r="R8">
        <v>2.2989978269965898E-2</v>
      </c>
      <c r="S8">
        <v>1.9607036006404765E-4</v>
      </c>
      <c r="T8">
        <v>-4.331490428274974E-3</v>
      </c>
      <c r="U8">
        <v>3.9483487264764267E-4</v>
      </c>
      <c r="V8">
        <v>6.1779270351746398E-3</v>
      </c>
      <c r="W8">
        <v>1.9321753472326748E-2</v>
      </c>
      <c r="X8">
        <v>2.6839219592129236E-3</v>
      </c>
      <c r="Y8">
        <v>-6.7088191798851962E-2</v>
      </c>
      <c r="Z8">
        <v>5.9105389975216776E-4</v>
      </c>
      <c r="AA8">
        <v>6.1357701114587992E-5</v>
      </c>
      <c r="AB8">
        <v>-6.8788770182496602E-7</v>
      </c>
      <c r="AC8">
        <v>2.1326067699460858E-2</v>
      </c>
      <c r="AD8">
        <v>2.3931387216329827E-2</v>
      </c>
      <c r="AE8">
        <v>2.3012755903813773E-2</v>
      </c>
      <c r="AF8">
        <v>-5.8930448528003482E-5</v>
      </c>
      <c r="AG8">
        <v>-2.1496533086399663E-2</v>
      </c>
    </row>
    <row r="9" spans="1:33" x14ac:dyDescent="0.2">
      <c r="A9" t="s">
        <v>104</v>
      </c>
      <c r="B9">
        <v>0.28530113479044394</v>
      </c>
      <c r="C9">
        <v>-1.479183394594097E-3</v>
      </c>
      <c r="D9">
        <v>1.1639782079703202E-3</v>
      </c>
      <c r="E9">
        <v>-1.4655702526788343E-5</v>
      </c>
      <c r="F9">
        <v>-1.1240082800660607E-3</v>
      </c>
      <c r="G9">
        <v>-3.9665073172381864E-3</v>
      </c>
      <c r="H9">
        <v>2.5194996974686464E-2</v>
      </c>
      <c r="I9">
        <v>2.3208273244349598E-2</v>
      </c>
      <c r="J9">
        <v>0.11288195350385989</v>
      </c>
      <c r="K9">
        <v>2.4452728176405779E-2</v>
      </c>
      <c r="L9">
        <v>2.270775867954063E-2</v>
      </c>
      <c r="M9">
        <v>2.3717680200531339E-2</v>
      </c>
      <c r="N9">
        <v>2.2967922726549489E-2</v>
      </c>
      <c r="O9">
        <v>2.4123851266570337E-2</v>
      </c>
      <c r="P9">
        <v>2.5332995933188635E-2</v>
      </c>
      <c r="Q9">
        <v>3.1860995156336253E-2</v>
      </c>
      <c r="R9">
        <v>3.1869452267741849E-2</v>
      </c>
      <c r="S9">
        <v>-6.7834953988209819E-4</v>
      </c>
      <c r="T9">
        <v>-4.4360405198490211E-3</v>
      </c>
      <c r="U9">
        <v>4.2688123091161158E-3</v>
      </c>
      <c r="V9">
        <v>7.4658635078177597E-3</v>
      </c>
      <c r="W9">
        <v>2.2513335322184375E-2</v>
      </c>
      <c r="X9">
        <v>4.3090413653745869E-3</v>
      </c>
      <c r="Y9">
        <v>-3.4252744058066213E-2</v>
      </c>
      <c r="Z9">
        <v>2.2630763903189904E-4</v>
      </c>
      <c r="AA9">
        <v>-3.269556061460694E-5</v>
      </c>
      <c r="AB9">
        <v>2.1261222755560266E-7</v>
      </c>
      <c r="AC9">
        <v>2.3207631560727346E-2</v>
      </c>
      <c r="AD9">
        <v>2.3737886069599489E-2</v>
      </c>
      <c r="AE9">
        <v>2.28215829054043E-2</v>
      </c>
      <c r="AF9">
        <v>-1.2295187384224991E-4</v>
      </c>
      <c r="AG9">
        <v>-1.8593067533058935E-2</v>
      </c>
    </row>
    <row r="10" spans="1:33" x14ac:dyDescent="0.2">
      <c r="A10" t="s">
        <v>113</v>
      </c>
      <c r="B10">
        <v>7.21340824023185E-2</v>
      </c>
      <c r="C10">
        <v>1.7945406264586767E-3</v>
      </c>
      <c r="D10">
        <v>5.976146295383301E-4</v>
      </c>
      <c r="E10">
        <v>-6.8697254969573249E-6</v>
      </c>
      <c r="F10">
        <v>-1.4831152867407814E-3</v>
      </c>
      <c r="G10">
        <v>-4.4304324296518269E-3</v>
      </c>
      <c r="H10">
        <v>2.3695861361299024E-2</v>
      </c>
      <c r="I10">
        <v>2.2715994503629013E-2</v>
      </c>
      <c r="J10">
        <v>2.4452728176405779E-2</v>
      </c>
      <c r="K10">
        <v>3.8756142025230263E-2</v>
      </c>
      <c r="L10">
        <v>2.2333698187001212E-2</v>
      </c>
      <c r="M10">
        <v>2.2867728700902607E-2</v>
      </c>
      <c r="N10">
        <v>2.3104488285045841E-2</v>
      </c>
      <c r="O10">
        <v>2.3313745494399053E-2</v>
      </c>
      <c r="P10">
        <v>2.3755402318041033E-2</v>
      </c>
      <c r="Q10">
        <v>2.4601817775201443E-2</v>
      </c>
      <c r="R10">
        <v>2.4840267412554254E-2</v>
      </c>
      <c r="S10">
        <v>-2.2897898989952218E-4</v>
      </c>
      <c r="T10">
        <v>-3.960747533743772E-3</v>
      </c>
      <c r="U10">
        <v>4.0307100954079639E-4</v>
      </c>
      <c r="V10">
        <v>7.7529441104851413E-3</v>
      </c>
      <c r="W10">
        <v>2.3109515691023437E-2</v>
      </c>
      <c r="X10">
        <v>2.5840761465406401E-3</v>
      </c>
      <c r="Y10">
        <v>-2.8406995954590265E-2</v>
      </c>
      <c r="Z10">
        <v>-3.5956440451767038E-5</v>
      </c>
      <c r="AA10">
        <v>1.5771143302640168E-4</v>
      </c>
      <c r="AB10">
        <v>-1.4978714457177954E-6</v>
      </c>
      <c r="AC10">
        <v>2.1679290256575095E-2</v>
      </c>
      <c r="AD10">
        <v>2.4197919330234907E-2</v>
      </c>
      <c r="AE10">
        <v>2.3686970450279753E-2</v>
      </c>
      <c r="AF10">
        <v>-4.7570896437943225E-5</v>
      </c>
      <c r="AG10">
        <v>-2.3323939902983815E-2</v>
      </c>
    </row>
    <row r="11" spans="1:33" x14ac:dyDescent="0.2">
      <c r="A11" t="s">
        <v>114</v>
      </c>
      <c r="B11">
        <v>1.6402789869466854E-3</v>
      </c>
      <c r="C11">
        <v>2.3315150607587346E-3</v>
      </c>
      <c r="D11">
        <v>8.3061413799447319E-4</v>
      </c>
      <c r="E11">
        <v>-8.3008945005172207E-6</v>
      </c>
      <c r="F11">
        <v>-1.8475610874156465E-3</v>
      </c>
      <c r="G11">
        <v>-3.4544642184912979E-3</v>
      </c>
      <c r="H11">
        <v>2.233660643885016E-2</v>
      </c>
      <c r="I11">
        <v>2.1764727530585663E-2</v>
      </c>
      <c r="J11">
        <v>2.270775867954063E-2</v>
      </c>
      <c r="K11">
        <v>2.2333698187001212E-2</v>
      </c>
      <c r="L11">
        <v>3.8298126340528829E-2</v>
      </c>
      <c r="M11">
        <v>2.1893360233246405E-2</v>
      </c>
      <c r="N11">
        <v>2.165409441608402E-2</v>
      </c>
      <c r="O11">
        <v>2.1973385230475484E-2</v>
      </c>
      <c r="P11">
        <v>2.2436807534729666E-2</v>
      </c>
      <c r="Q11">
        <v>2.2720304490082173E-2</v>
      </c>
      <c r="R11">
        <v>2.2776462656480603E-2</v>
      </c>
      <c r="S11">
        <v>-8.8318990881358455E-5</v>
      </c>
      <c r="T11">
        <v>-3.3544490448333456E-3</v>
      </c>
      <c r="U11">
        <v>3.8418634843458708E-3</v>
      </c>
      <c r="V11">
        <v>6.4208839837765772E-3</v>
      </c>
      <c r="W11">
        <v>1.8467932217540159E-2</v>
      </c>
      <c r="X11">
        <v>-5.509089738831058E-4</v>
      </c>
      <c r="Y11">
        <v>-3.3470050456911024E-2</v>
      </c>
      <c r="Z11">
        <v>4.6634552111257535E-4</v>
      </c>
      <c r="AA11">
        <v>-1.6847280942660497E-4</v>
      </c>
      <c r="AB11">
        <v>3.7202298052750612E-6</v>
      </c>
      <c r="AC11">
        <v>2.097728957993128E-2</v>
      </c>
      <c r="AD11">
        <v>2.3070292915215583E-2</v>
      </c>
      <c r="AE11">
        <v>2.2458351514628678E-2</v>
      </c>
      <c r="AF11">
        <v>-1.8080930099085386E-4</v>
      </c>
      <c r="AG11">
        <v>-1.5789504255160902E-2</v>
      </c>
    </row>
    <row r="12" spans="1:33" x14ac:dyDescent="0.2">
      <c r="A12" t="s">
        <v>115</v>
      </c>
      <c r="B12">
        <v>9.3481552337342746E-2</v>
      </c>
      <c r="C12">
        <v>1.6109724506258743E-3</v>
      </c>
      <c r="D12">
        <v>8.4027759407788189E-4</v>
      </c>
      <c r="E12">
        <v>-9.7908584184550823E-6</v>
      </c>
      <c r="F12">
        <v>-1.3938392022938271E-3</v>
      </c>
      <c r="G12">
        <v>-3.088082138162002E-3</v>
      </c>
      <c r="H12">
        <v>2.3010910262321577E-2</v>
      </c>
      <c r="I12">
        <v>2.2330298056041007E-2</v>
      </c>
      <c r="J12">
        <v>2.3717680200531339E-2</v>
      </c>
      <c r="K12">
        <v>2.2867728700902607E-2</v>
      </c>
      <c r="L12">
        <v>2.1893360233246405E-2</v>
      </c>
      <c r="M12">
        <v>3.6416304637626226E-2</v>
      </c>
      <c r="N12">
        <v>2.2368294120261208E-2</v>
      </c>
      <c r="O12">
        <v>2.2690409854294831E-2</v>
      </c>
      <c r="P12">
        <v>2.3007120976303932E-2</v>
      </c>
      <c r="Q12">
        <v>2.3957867588702352E-2</v>
      </c>
      <c r="R12">
        <v>2.3797079843508106E-2</v>
      </c>
      <c r="S12">
        <v>-2.8040044502445369E-4</v>
      </c>
      <c r="T12">
        <v>-3.8767029794125403E-3</v>
      </c>
      <c r="U12">
        <v>8.5777956244933464E-4</v>
      </c>
      <c r="V12">
        <v>7.1956577175533902E-3</v>
      </c>
      <c r="W12">
        <v>1.9492461772358281E-2</v>
      </c>
      <c r="X12">
        <v>2.7638341563817766E-3</v>
      </c>
      <c r="Y12">
        <v>-3.0609448762378151E-2</v>
      </c>
      <c r="Z12">
        <v>6.6770001863517068E-4</v>
      </c>
      <c r="AA12">
        <v>1.7645287899886904E-4</v>
      </c>
      <c r="AB12">
        <v>-1.62438633225942E-6</v>
      </c>
      <c r="AC12">
        <v>2.1202458066803105E-2</v>
      </c>
      <c r="AD12">
        <v>2.3824463025666414E-2</v>
      </c>
      <c r="AE12">
        <v>2.2966313678594363E-2</v>
      </c>
      <c r="AF12">
        <v>-1.7285322471032277E-4</v>
      </c>
      <c r="AG12">
        <v>-2.1493979067758434E-2</v>
      </c>
    </row>
    <row r="13" spans="1:33" x14ac:dyDescent="0.2">
      <c r="A13" t="s">
        <v>116</v>
      </c>
      <c r="B13">
        <v>0.12025768533892987</v>
      </c>
      <c r="C13">
        <v>-1.1145026629324398E-4</v>
      </c>
      <c r="D13">
        <v>4.8447733170660042E-4</v>
      </c>
      <c r="E13">
        <v>-5.712008292746544E-6</v>
      </c>
      <c r="F13">
        <v>-2.4696333074093325E-3</v>
      </c>
      <c r="G13">
        <v>-4.6784209674349403E-3</v>
      </c>
      <c r="H13">
        <v>2.3080638010663755E-2</v>
      </c>
      <c r="I13">
        <v>2.2146718441592581E-2</v>
      </c>
      <c r="J13">
        <v>2.2967922726549489E-2</v>
      </c>
      <c r="K13">
        <v>2.3104488285045841E-2</v>
      </c>
      <c r="L13">
        <v>2.165409441608402E-2</v>
      </c>
      <c r="M13">
        <v>2.2368294120261208E-2</v>
      </c>
      <c r="N13">
        <v>3.3999513944812189E-2</v>
      </c>
      <c r="O13">
        <v>2.2583577837657076E-2</v>
      </c>
      <c r="P13">
        <v>2.3379426803086356E-2</v>
      </c>
      <c r="Q13">
        <v>2.2892002072458693E-2</v>
      </c>
      <c r="R13">
        <v>2.339373863112543E-2</v>
      </c>
      <c r="S13">
        <v>1.9299754298807826E-4</v>
      </c>
      <c r="T13">
        <v>-3.826364089929262E-3</v>
      </c>
      <c r="U13">
        <v>-6.8981190765352333E-4</v>
      </c>
      <c r="V13">
        <v>7.1235480841121525E-3</v>
      </c>
      <c r="W13">
        <v>2.0240134493048394E-2</v>
      </c>
      <c r="X13">
        <v>2.9008474689655073E-3</v>
      </c>
      <c r="Y13">
        <v>-3.0577228360117947E-2</v>
      </c>
      <c r="Z13">
        <v>-3.2334538101744942E-4</v>
      </c>
      <c r="AA13">
        <v>3.3688292776810121E-4</v>
      </c>
      <c r="AB13">
        <v>-3.7219805633909963E-6</v>
      </c>
      <c r="AC13">
        <v>2.1665134553637597E-2</v>
      </c>
      <c r="AD13">
        <v>2.4138334291259285E-2</v>
      </c>
      <c r="AE13">
        <v>2.3485664732463163E-2</v>
      </c>
      <c r="AF13">
        <v>1.1811041558872689E-5</v>
      </c>
      <c r="AG13">
        <v>-2.6055819339710712E-2</v>
      </c>
    </row>
    <row r="14" spans="1:33" x14ac:dyDescent="0.2">
      <c r="A14" t="s">
        <v>117</v>
      </c>
      <c r="B14">
        <v>-0.18487126222889116</v>
      </c>
      <c r="C14">
        <v>3.3125687521306378E-3</v>
      </c>
      <c r="D14">
        <v>8.1410184015400433E-4</v>
      </c>
      <c r="E14">
        <v>-1.054546093994168E-5</v>
      </c>
      <c r="F14">
        <v>-1.7372612986792766E-3</v>
      </c>
      <c r="G14">
        <v>-3.2732261451634218E-3</v>
      </c>
      <c r="H14">
        <v>2.357955783832813E-2</v>
      </c>
      <c r="I14">
        <v>2.2717850935751006E-2</v>
      </c>
      <c r="J14">
        <v>2.4123851266570337E-2</v>
      </c>
      <c r="K14">
        <v>2.3313745494399053E-2</v>
      </c>
      <c r="L14">
        <v>2.1973385230475484E-2</v>
      </c>
      <c r="M14">
        <v>2.2690409854294831E-2</v>
      </c>
      <c r="N14">
        <v>2.2583577837657076E-2</v>
      </c>
      <c r="O14">
        <v>3.9711200882984347E-2</v>
      </c>
      <c r="P14">
        <v>2.3976524905126483E-2</v>
      </c>
      <c r="Q14">
        <v>2.432982859910179E-2</v>
      </c>
      <c r="R14">
        <v>2.4458657328817027E-2</v>
      </c>
      <c r="S14">
        <v>-6.4837599807742363E-5</v>
      </c>
      <c r="T14">
        <v>-1.2051403929255636E-3</v>
      </c>
      <c r="U14">
        <v>3.0275378059389001E-3</v>
      </c>
      <c r="V14">
        <v>8.5305971890889277E-3</v>
      </c>
      <c r="W14">
        <v>2.172428188173035E-2</v>
      </c>
      <c r="X14">
        <v>3.9210148221593055E-3</v>
      </c>
      <c r="Y14">
        <v>-3.5219939610833431E-2</v>
      </c>
      <c r="Z14">
        <v>6.7792495682642223E-4</v>
      </c>
      <c r="AA14">
        <v>1.1267035734979867E-4</v>
      </c>
      <c r="AB14">
        <v>-3.3215532348074707E-6</v>
      </c>
      <c r="AC14">
        <v>2.2118257642321899E-2</v>
      </c>
      <c r="AD14">
        <v>2.4977056079056252E-2</v>
      </c>
      <c r="AE14">
        <v>2.3742269644851807E-2</v>
      </c>
      <c r="AF14">
        <v>-1.8163732767119867E-4</v>
      </c>
      <c r="AG14">
        <v>-2.00619604048487E-2</v>
      </c>
    </row>
    <row r="15" spans="1:33" x14ac:dyDescent="0.2">
      <c r="A15" t="s">
        <v>118</v>
      </c>
      <c r="B15">
        <v>-0.21853624108916542</v>
      </c>
      <c r="C15">
        <v>1.7907142156422919E-3</v>
      </c>
      <c r="D15">
        <v>9.4892192186931974E-4</v>
      </c>
      <c r="E15">
        <v>-1.4084719315127322E-5</v>
      </c>
      <c r="F15">
        <v>-1.7463058968216197E-3</v>
      </c>
      <c r="G15">
        <v>-2.3100351783021588E-3</v>
      </c>
      <c r="H15">
        <v>2.406959692484258E-2</v>
      </c>
      <c r="I15">
        <v>2.3128880646161549E-2</v>
      </c>
      <c r="J15">
        <v>2.5332995933188635E-2</v>
      </c>
      <c r="K15">
        <v>2.3755402318041033E-2</v>
      </c>
      <c r="L15">
        <v>2.2436807534729666E-2</v>
      </c>
      <c r="M15">
        <v>2.3007120976303932E-2</v>
      </c>
      <c r="N15">
        <v>2.3379426803086356E-2</v>
      </c>
      <c r="O15">
        <v>2.3976524905126483E-2</v>
      </c>
      <c r="P15">
        <v>5.2128752836977529E-2</v>
      </c>
      <c r="Q15">
        <v>2.5824076220996618E-2</v>
      </c>
      <c r="R15">
        <v>2.5842482352448404E-2</v>
      </c>
      <c r="S15">
        <v>2.5940815666993612E-4</v>
      </c>
      <c r="T15">
        <v>-3.350787874455149E-3</v>
      </c>
      <c r="U15">
        <v>4.9538177286254353E-4</v>
      </c>
      <c r="V15">
        <v>7.8638282153229312E-3</v>
      </c>
      <c r="W15">
        <v>2.25365466022871E-2</v>
      </c>
      <c r="X15">
        <v>3.9584656547445116E-3</v>
      </c>
      <c r="Y15">
        <v>-4.2353122830971743E-2</v>
      </c>
      <c r="Z15">
        <v>4.6490989408192514E-4</v>
      </c>
      <c r="AA15">
        <v>-3.4166569312883525E-4</v>
      </c>
      <c r="AB15">
        <v>5.0416423242363289E-6</v>
      </c>
      <c r="AC15">
        <v>2.2095673503652886E-2</v>
      </c>
      <c r="AD15">
        <v>2.5278286896001454E-2</v>
      </c>
      <c r="AE15">
        <v>2.4065451117886008E-2</v>
      </c>
      <c r="AF15">
        <v>1.1555094445186878E-4</v>
      </c>
      <c r="AG15">
        <v>-1.9456956870592318E-2</v>
      </c>
    </row>
    <row r="16" spans="1:33" x14ac:dyDescent="0.2">
      <c r="A16" t="s">
        <v>105</v>
      </c>
      <c r="B16">
        <v>0.64321632479212854</v>
      </c>
      <c r="C16">
        <v>5.4557073829172137E-4</v>
      </c>
      <c r="D16">
        <v>1.7837676807480106E-3</v>
      </c>
      <c r="E16">
        <v>-2.9908500068114785E-5</v>
      </c>
      <c r="F16">
        <v>-3.4934465881441938E-4</v>
      </c>
      <c r="G16">
        <v>-4.3231812330670801E-3</v>
      </c>
      <c r="H16">
        <v>2.5488071769765749E-2</v>
      </c>
      <c r="I16">
        <v>2.3344228782686174E-2</v>
      </c>
      <c r="J16">
        <v>3.1860995156336253E-2</v>
      </c>
      <c r="K16">
        <v>2.4601817775201443E-2</v>
      </c>
      <c r="L16">
        <v>2.2720304490082173E-2</v>
      </c>
      <c r="M16">
        <v>2.3957867588702352E-2</v>
      </c>
      <c r="N16">
        <v>2.2892002072458693E-2</v>
      </c>
      <c r="O16">
        <v>2.432982859910179E-2</v>
      </c>
      <c r="P16">
        <v>2.5824076220996618E-2</v>
      </c>
      <c r="Q16">
        <v>0.12423022302671992</v>
      </c>
      <c r="R16">
        <v>3.1404604028483669E-2</v>
      </c>
      <c r="S16">
        <v>-1.1264213904916773E-3</v>
      </c>
      <c r="T16">
        <v>-4.5802093282529379E-3</v>
      </c>
      <c r="U16">
        <v>1.2071437988770578E-3</v>
      </c>
      <c r="V16">
        <v>9.3967068326527969E-3</v>
      </c>
      <c r="W16">
        <v>2.3568175905334558E-2</v>
      </c>
      <c r="X16">
        <v>3.5685635006215189E-3</v>
      </c>
      <c r="Y16">
        <v>-3.366788930847095E-2</v>
      </c>
      <c r="Z16">
        <v>3.449475310216602E-4</v>
      </c>
      <c r="AA16">
        <v>-3.0187158031763119E-5</v>
      </c>
      <c r="AB16">
        <v>2.3400993284108744E-7</v>
      </c>
      <c r="AC16">
        <v>2.1088533897804611E-2</v>
      </c>
      <c r="AD16">
        <v>2.6018377144741291E-2</v>
      </c>
      <c r="AE16">
        <v>2.3229726919669388E-2</v>
      </c>
      <c r="AF16">
        <v>-5.8091927912636509E-5</v>
      </c>
      <c r="AG16">
        <v>-2.0370274338742764E-2</v>
      </c>
    </row>
    <row r="17" spans="1:33" x14ac:dyDescent="0.2">
      <c r="A17" t="s">
        <v>106</v>
      </c>
      <c r="B17">
        <v>-0.74273764435127942</v>
      </c>
      <c r="C17">
        <v>-1.4972688916285266E-3</v>
      </c>
      <c r="D17">
        <v>-3.0577936608281262E-3</v>
      </c>
      <c r="E17">
        <v>4.1880505237868726E-5</v>
      </c>
      <c r="F17">
        <v>-1.7154973025414952E-3</v>
      </c>
      <c r="G17">
        <v>-5.5637218128643338E-3</v>
      </c>
      <c r="H17">
        <v>2.6061251600414278E-2</v>
      </c>
      <c r="I17">
        <v>2.2989978269965898E-2</v>
      </c>
      <c r="J17">
        <v>3.1869452267741849E-2</v>
      </c>
      <c r="K17">
        <v>2.4840267412554254E-2</v>
      </c>
      <c r="L17">
        <v>2.2776462656480603E-2</v>
      </c>
      <c r="M17">
        <v>2.3797079843508106E-2</v>
      </c>
      <c r="N17">
        <v>2.339373863112543E-2</v>
      </c>
      <c r="O17">
        <v>2.4458657328817027E-2</v>
      </c>
      <c r="P17">
        <v>2.5842482352448404E-2</v>
      </c>
      <c r="Q17">
        <v>3.1404604028483669E-2</v>
      </c>
      <c r="R17">
        <v>7.822542731132226E-2</v>
      </c>
      <c r="S17">
        <v>-2.9933697951555334E-4</v>
      </c>
      <c r="T17">
        <v>-4.0303303546057262E-3</v>
      </c>
      <c r="U17">
        <v>2.7502983943098682E-3</v>
      </c>
      <c r="V17">
        <v>9.4576419241784032E-3</v>
      </c>
      <c r="W17">
        <v>2.5062980793919588E-2</v>
      </c>
      <c r="X17">
        <v>4.935989553562864E-3</v>
      </c>
      <c r="Y17">
        <v>1.8330780695343229E-2</v>
      </c>
      <c r="Z17">
        <v>3.0282634072857878E-4</v>
      </c>
      <c r="AA17">
        <v>-5.7978161903330565E-4</v>
      </c>
      <c r="AB17">
        <v>7.1508258246608228E-6</v>
      </c>
      <c r="AC17">
        <v>2.1607241248614656E-2</v>
      </c>
      <c r="AD17">
        <v>2.465407462344802E-2</v>
      </c>
      <c r="AE17">
        <v>2.6537578169495896E-2</v>
      </c>
      <c r="AF17">
        <v>-1.1731847605037668E-4</v>
      </c>
      <c r="AG17">
        <v>-1.0469143389768121E-2</v>
      </c>
    </row>
    <row r="18" spans="1:33" x14ac:dyDescent="0.2">
      <c r="A18" t="s">
        <v>60</v>
      </c>
      <c r="B18">
        <v>-4.3988276084717171E-2</v>
      </c>
      <c r="C18">
        <v>6.0184677877622467E-4</v>
      </c>
      <c r="D18">
        <v>-1.1293611721840653E-4</v>
      </c>
      <c r="E18">
        <v>1.3630680587301616E-6</v>
      </c>
      <c r="F18">
        <v>-1.4315468432108143E-4</v>
      </c>
      <c r="G18">
        <v>2.4531556716808124E-4</v>
      </c>
      <c r="H18">
        <v>-3.1298881330993626E-4</v>
      </c>
      <c r="I18">
        <v>1.9607036006404765E-4</v>
      </c>
      <c r="J18">
        <v>-6.7834953988209819E-4</v>
      </c>
      <c r="K18">
        <v>-2.2897898989952218E-4</v>
      </c>
      <c r="L18">
        <v>-8.8318990881358455E-5</v>
      </c>
      <c r="M18">
        <v>-2.8040044502445369E-4</v>
      </c>
      <c r="N18">
        <v>1.9299754298807826E-4</v>
      </c>
      <c r="O18">
        <v>-6.4837599807742363E-5</v>
      </c>
      <c r="P18">
        <v>2.5940815666993612E-4</v>
      </c>
      <c r="Q18">
        <v>-1.1264213904916773E-3</v>
      </c>
      <c r="R18">
        <v>-2.9933697951555334E-4</v>
      </c>
      <c r="S18">
        <v>5.2603640981269129E-4</v>
      </c>
      <c r="T18">
        <v>-4.3027839643775803E-4</v>
      </c>
      <c r="U18">
        <v>-6.9465496992321364E-4</v>
      </c>
      <c r="V18">
        <v>-3.9117922120329588E-4</v>
      </c>
      <c r="W18">
        <v>3.6238015378840075E-5</v>
      </c>
      <c r="X18">
        <v>-4.7981919104915906E-4</v>
      </c>
      <c r="Y18">
        <v>-7.0812658180202572E-3</v>
      </c>
      <c r="Z18">
        <v>2.0630897956786887E-6</v>
      </c>
      <c r="AA18">
        <v>3.6838962638551583E-5</v>
      </c>
      <c r="AB18">
        <v>-6.1699805692676069E-7</v>
      </c>
      <c r="AC18">
        <v>-3.8736262878783347E-5</v>
      </c>
      <c r="AD18">
        <v>-5.5014756083060051E-5</v>
      </c>
      <c r="AE18">
        <v>-6.8958887585822155E-5</v>
      </c>
      <c r="AF18">
        <v>3.6706195798853304E-5</v>
      </c>
      <c r="AG18">
        <v>-9.2428775160333446E-4</v>
      </c>
    </row>
    <row r="19" spans="1:33" x14ac:dyDescent="0.2">
      <c r="A19" t="s">
        <v>61</v>
      </c>
      <c r="B19">
        <v>-4.5405195871937795E-2</v>
      </c>
      <c r="C19">
        <v>-3.5635570310184371E-3</v>
      </c>
      <c r="D19">
        <v>-4.1795842849915615E-4</v>
      </c>
      <c r="E19">
        <v>2.9598750945230233E-6</v>
      </c>
      <c r="F19">
        <v>8.8219716213697467E-4</v>
      </c>
      <c r="G19">
        <v>1.4314191509574685E-3</v>
      </c>
      <c r="H19">
        <v>-2.9879194098648451E-3</v>
      </c>
      <c r="I19">
        <v>-4.331490428274974E-3</v>
      </c>
      <c r="J19">
        <v>-4.4360405198490211E-3</v>
      </c>
      <c r="K19">
        <v>-3.960747533743772E-3</v>
      </c>
      <c r="L19">
        <v>-3.3544490448333456E-3</v>
      </c>
      <c r="M19">
        <v>-3.8767029794125403E-3</v>
      </c>
      <c r="N19">
        <v>-3.826364089929262E-3</v>
      </c>
      <c r="O19">
        <v>-1.2051403929255636E-3</v>
      </c>
      <c r="P19">
        <v>-3.350787874455149E-3</v>
      </c>
      <c r="Q19">
        <v>-4.5802093282529379E-3</v>
      </c>
      <c r="R19">
        <v>-4.0303303546057262E-3</v>
      </c>
      <c r="S19">
        <v>-4.3027839643775803E-4</v>
      </c>
      <c r="T19">
        <v>2.7977975178965914E-2</v>
      </c>
      <c r="U19">
        <v>4.0391219503669046E-3</v>
      </c>
      <c r="V19">
        <v>-1.3665360589313518E-4</v>
      </c>
      <c r="W19">
        <v>-3.1228582689184041E-3</v>
      </c>
      <c r="X19">
        <v>-2.1443661701361534E-3</v>
      </c>
      <c r="Y19">
        <v>1.7443525132160152E-2</v>
      </c>
      <c r="Z19">
        <v>1.4083683661321022E-4</v>
      </c>
      <c r="AA19">
        <v>-5.5815599503210907E-4</v>
      </c>
      <c r="AB19">
        <v>8.2777040717044032E-6</v>
      </c>
      <c r="AC19">
        <v>-1.3855313806541893E-3</v>
      </c>
      <c r="AD19">
        <v>-3.0198417165604357E-3</v>
      </c>
      <c r="AE19">
        <v>-3.2088031881402621E-3</v>
      </c>
      <c r="AF19">
        <v>-5.1763237891912066E-4</v>
      </c>
      <c r="AG19">
        <v>1.670369870222032E-2</v>
      </c>
    </row>
    <row r="20" spans="1:33" x14ac:dyDescent="0.2">
      <c r="A20" t="s">
        <v>62</v>
      </c>
      <c r="B20">
        <v>-7.4294877844903618E-3</v>
      </c>
      <c r="C20">
        <v>9.8041815948174339E-4</v>
      </c>
      <c r="D20">
        <v>-3.4500397144435126E-4</v>
      </c>
      <c r="E20">
        <v>7.7349166121779277E-6</v>
      </c>
      <c r="F20">
        <v>8.6466648788222284E-4</v>
      </c>
      <c r="G20">
        <v>-8.8314197229494816E-6</v>
      </c>
      <c r="H20">
        <v>-8.639630893797184E-4</v>
      </c>
      <c r="I20">
        <v>3.9483487264764267E-4</v>
      </c>
      <c r="J20">
        <v>4.2688123091161158E-3</v>
      </c>
      <c r="K20">
        <v>4.0307100954079639E-4</v>
      </c>
      <c r="L20">
        <v>3.8418634843458708E-3</v>
      </c>
      <c r="M20">
        <v>8.5777956244933464E-4</v>
      </c>
      <c r="N20">
        <v>-6.8981190765352333E-4</v>
      </c>
      <c r="O20">
        <v>3.0275378059389001E-3</v>
      </c>
      <c r="P20">
        <v>4.9538177286254353E-4</v>
      </c>
      <c r="Q20">
        <v>1.2071437988770578E-3</v>
      </c>
      <c r="R20">
        <v>2.7502983943098682E-3</v>
      </c>
      <c r="S20">
        <v>-6.9465496992321364E-4</v>
      </c>
      <c r="T20">
        <v>4.0391219503669046E-3</v>
      </c>
      <c r="U20">
        <v>3.2919700213448283E-2</v>
      </c>
      <c r="V20">
        <v>1.9234474713528485E-3</v>
      </c>
      <c r="W20">
        <v>-1.4491506493941849E-3</v>
      </c>
      <c r="X20">
        <v>-2.0298006321080014E-3</v>
      </c>
      <c r="Y20">
        <v>1.0847656566326212E-2</v>
      </c>
      <c r="Z20">
        <v>8.3862000083219108E-5</v>
      </c>
      <c r="AA20">
        <v>-3.7857223279743886E-4</v>
      </c>
      <c r="AB20">
        <v>7.7807585724281999E-6</v>
      </c>
      <c r="AC20">
        <v>4.5189298183401531E-4</v>
      </c>
      <c r="AD20">
        <v>2.7791442171922675E-3</v>
      </c>
      <c r="AE20">
        <v>2.7654108393226906E-5</v>
      </c>
      <c r="AF20">
        <v>-6.3260456349754153E-4</v>
      </c>
      <c r="AG20">
        <v>1.1347514178049054E-2</v>
      </c>
    </row>
    <row r="21" spans="1:33" x14ac:dyDescent="0.2">
      <c r="A21" t="s">
        <v>119</v>
      </c>
      <c r="B21">
        <v>0.45087035665853153</v>
      </c>
      <c r="C21">
        <v>-4.5977165580388145E-4</v>
      </c>
      <c r="D21">
        <v>-1.3589635168299746E-3</v>
      </c>
      <c r="E21">
        <v>2.066226404911104E-5</v>
      </c>
      <c r="F21">
        <v>-4.4321659117040405E-6</v>
      </c>
      <c r="G21">
        <v>-3.9281473112822429E-3</v>
      </c>
      <c r="H21">
        <v>8.7728127160633593E-3</v>
      </c>
      <c r="I21">
        <v>6.1779270351746398E-3</v>
      </c>
      <c r="J21">
        <v>7.4658635078177597E-3</v>
      </c>
      <c r="K21">
        <v>7.7529441104851413E-3</v>
      </c>
      <c r="L21">
        <v>6.4208839837765772E-3</v>
      </c>
      <c r="M21">
        <v>7.1956577175533902E-3</v>
      </c>
      <c r="N21">
        <v>7.1235480841121525E-3</v>
      </c>
      <c r="O21">
        <v>8.5305971890889277E-3</v>
      </c>
      <c r="P21">
        <v>7.8638282153229312E-3</v>
      </c>
      <c r="Q21">
        <v>9.3967068326527969E-3</v>
      </c>
      <c r="R21">
        <v>9.4576419241784032E-3</v>
      </c>
      <c r="S21">
        <v>-3.9117922120329588E-4</v>
      </c>
      <c r="T21">
        <v>-1.3665360589313518E-4</v>
      </c>
      <c r="U21">
        <v>1.9234474713528485E-3</v>
      </c>
      <c r="V21">
        <v>2.0131457800102712E-2</v>
      </c>
      <c r="W21">
        <v>9.0152270050732498E-3</v>
      </c>
      <c r="X21">
        <v>3.5778861820309838E-3</v>
      </c>
      <c r="Y21">
        <v>1.6604919352293745E-2</v>
      </c>
      <c r="Z21">
        <v>4.6703360460449239E-5</v>
      </c>
      <c r="AA21">
        <v>-1.1109390463728414E-3</v>
      </c>
      <c r="AB21">
        <v>1.5733739877383508E-5</v>
      </c>
      <c r="AC21">
        <v>5.9555146281503601E-3</v>
      </c>
      <c r="AD21">
        <v>9.6869083082272642E-3</v>
      </c>
      <c r="AE21">
        <v>9.8448774065610593E-3</v>
      </c>
      <c r="AF21">
        <v>-1.6182202753126118E-4</v>
      </c>
      <c r="AG21">
        <v>1.0212226857828719E-2</v>
      </c>
    </row>
    <row r="22" spans="1:33" x14ac:dyDescent="0.2">
      <c r="A22" t="s">
        <v>120</v>
      </c>
      <c r="B22">
        <v>-0.86159610151550126</v>
      </c>
      <c r="C22">
        <v>2.5485860299076452E-3</v>
      </c>
      <c r="D22">
        <v>-1.6498625075958666E-3</v>
      </c>
      <c r="E22">
        <v>2.0133772081613983E-5</v>
      </c>
      <c r="F22">
        <v>5.7092531632757168E-4</v>
      </c>
      <c r="G22">
        <v>-3.181520623208851E-3</v>
      </c>
      <c r="H22">
        <v>2.1999387826007428E-2</v>
      </c>
      <c r="I22">
        <v>1.9321753472326748E-2</v>
      </c>
      <c r="J22">
        <v>2.2513335322184375E-2</v>
      </c>
      <c r="K22">
        <v>2.3109515691023437E-2</v>
      </c>
      <c r="L22">
        <v>1.8467932217540159E-2</v>
      </c>
      <c r="M22">
        <v>1.9492461772358281E-2</v>
      </c>
      <c r="N22">
        <v>2.0240134493048394E-2</v>
      </c>
      <c r="O22">
        <v>2.172428188173035E-2</v>
      </c>
      <c r="P22">
        <v>2.25365466022871E-2</v>
      </c>
      <c r="Q22">
        <v>2.3568175905334558E-2</v>
      </c>
      <c r="R22">
        <v>2.5062980793919588E-2</v>
      </c>
      <c r="S22">
        <v>3.6238015378840075E-5</v>
      </c>
      <c r="T22">
        <v>-3.1228582689184041E-3</v>
      </c>
      <c r="U22">
        <v>-1.4491506493941849E-3</v>
      </c>
      <c r="V22">
        <v>9.0152270050732498E-3</v>
      </c>
      <c r="W22">
        <v>7.4109040327147185E-2</v>
      </c>
      <c r="X22">
        <v>6.1906247992484058E-3</v>
      </c>
      <c r="Y22">
        <v>-1.9071624146835228E-3</v>
      </c>
      <c r="Z22">
        <v>2.3452971006939231E-4</v>
      </c>
      <c r="AA22">
        <v>-6.6149754901783297E-4</v>
      </c>
      <c r="AB22">
        <v>4.3959576864070289E-6</v>
      </c>
      <c r="AC22">
        <v>1.9158647115630562E-2</v>
      </c>
      <c r="AD22">
        <v>3.0960871685121575E-2</v>
      </c>
      <c r="AE22">
        <v>2.2529652387877859E-2</v>
      </c>
      <c r="AF22">
        <v>3.5717021064198852E-4</v>
      </c>
      <c r="AG22">
        <v>-1.6032295173005341E-2</v>
      </c>
    </row>
    <row r="23" spans="1:33" x14ac:dyDescent="0.2">
      <c r="A23" t="s">
        <v>121</v>
      </c>
      <c r="B23">
        <v>-0.16428306254176392</v>
      </c>
      <c r="C23">
        <v>3.7386249711579651E-3</v>
      </c>
      <c r="D23">
        <v>-1.4050919857781995E-3</v>
      </c>
      <c r="E23">
        <v>1.8507136399817013E-5</v>
      </c>
      <c r="F23">
        <v>1.3621918000582254E-3</v>
      </c>
      <c r="G23">
        <v>1.8775371663116134E-3</v>
      </c>
      <c r="H23">
        <v>3.9831604681052173E-3</v>
      </c>
      <c r="I23">
        <v>2.6839219592129236E-3</v>
      </c>
      <c r="J23">
        <v>4.3090413653745869E-3</v>
      </c>
      <c r="K23">
        <v>2.5840761465406401E-3</v>
      </c>
      <c r="L23">
        <v>-5.509089738831058E-4</v>
      </c>
      <c r="M23">
        <v>2.7638341563817766E-3</v>
      </c>
      <c r="N23">
        <v>2.9008474689655073E-3</v>
      </c>
      <c r="O23">
        <v>3.9210148221593055E-3</v>
      </c>
      <c r="P23">
        <v>3.9584656547445116E-3</v>
      </c>
      <c r="Q23">
        <v>3.5685635006215189E-3</v>
      </c>
      <c r="R23">
        <v>4.935989553562864E-3</v>
      </c>
      <c r="S23">
        <v>-4.7981919104915906E-4</v>
      </c>
      <c r="T23">
        <v>-2.1443661701361534E-3</v>
      </c>
      <c r="U23">
        <v>-2.0298006321080014E-3</v>
      </c>
      <c r="V23">
        <v>3.5778861820309838E-3</v>
      </c>
      <c r="W23">
        <v>6.1906247992484058E-3</v>
      </c>
      <c r="X23">
        <v>4.2411603073621455E-2</v>
      </c>
      <c r="Y23">
        <v>1.9616151322238096E-2</v>
      </c>
      <c r="Z23">
        <v>-1.1169057818964686E-3</v>
      </c>
      <c r="AA23">
        <v>-4.9539018716793681E-4</v>
      </c>
      <c r="AB23">
        <v>3.4810027782785882E-6</v>
      </c>
      <c r="AC23">
        <v>4.5576369167856087E-3</v>
      </c>
      <c r="AD23">
        <v>5.8648316326962999E-3</v>
      </c>
      <c r="AE23">
        <v>5.4029591209357403E-3</v>
      </c>
      <c r="AF23">
        <v>-9.0469357916775242E-5</v>
      </c>
      <c r="AG23">
        <v>4.6087979207844777E-3</v>
      </c>
    </row>
    <row r="24" spans="1:33" x14ac:dyDescent="0.2">
      <c r="A24" t="s">
        <v>63</v>
      </c>
      <c r="B24">
        <v>-5.2845058657298729</v>
      </c>
      <c r="C24">
        <v>-7.2169175629325497E-2</v>
      </c>
      <c r="D24">
        <v>-0.12293403970501089</v>
      </c>
      <c r="E24">
        <v>1.6276532469962786E-3</v>
      </c>
      <c r="F24">
        <v>-1.0245655870252099E-2</v>
      </c>
      <c r="G24">
        <v>-3.950438155185939E-2</v>
      </c>
      <c r="H24">
        <v>-1.6334310258547591E-2</v>
      </c>
      <c r="I24">
        <v>-6.7088191798851962E-2</v>
      </c>
      <c r="J24">
        <v>-3.4252744058066213E-2</v>
      </c>
      <c r="K24">
        <v>-2.8406995954590265E-2</v>
      </c>
      <c r="L24">
        <v>-3.3470050456911024E-2</v>
      </c>
      <c r="M24">
        <v>-3.0609448762378151E-2</v>
      </c>
      <c r="N24">
        <v>-3.0577228360117947E-2</v>
      </c>
      <c r="O24">
        <v>-3.5219939610833431E-2</v>
      </c>
      <c r="P24">
        <v>-4.2353122830971743E-2</v>
      </c>
      <c r="Q24">
        <v>-3.366788930847095E-2</v>
      </c>
      <c r="R24">
        <v>1.8330780695343229E-2</v>
      </c>
      <c r="S24">
        <v>-7.0812658180202572E-3</v>
      </c>
      <c r="T24">
        <v>1.7443525132160152E-2</v>
      </c>
      <c r="U24">
        <v>1.0847656566326212E-2</v>
      </c>
      <c r="V24">
        <v>1.6604919352293745E-2</v>
      </c>
      <c r="W24">
        <v>-1.9071624146835228E-3</v>
      </c>
      <c r="X24">
        <v>1.9616151322238096E-2</v>
      </c>
      <c r="Y24">
        <v>1.9205518249778135</v>
      </c>
      <c r="Z24">
        <v>-5.648853475763908E-3</v>
      </c>
      <c r="AA24">
        <v>-1.4454925610264818E-2</v>
      </c>
      <c r="AB24">
        <v>1.7979004592270724E-4</v>
      </c>
      <c r="AC24">
        <v>-2.0566598948599843E-2</v>
      </c>
      <c r="AD24">
        <v>-2.3776704730119301E-2</v>
      </c>
      <c r="AE24">
        <v>-2.1599954348786615E-2</v>
      </c>
      <c r="AF24">
        <v>-1.3376222144853289E-3</v>
      </c>
      <c r="AG24">
        <v>0.28036206707505107</v>
      </c>
    </row>
    <row r="25" spans="1:33" x14ac:dyDescent="0.2">
      <c r="A25" t="s">
        <v>64</v>
      </c>
      <c r="B25">
        <v>8.7228707549752718E-2</v>
      </c>
      <c r="C25">
        <v>1.296066040519306E-3</v>
      </c>
      <c r="D25">
        <v>3.0497437226673671E-4</v>
      </c>
      <c r="E25">
        <v>-3.8907545340972433E-6</v>
      </c>
      <c r="F25">
        <v>2.0840632801047681E-4</v>
      </c>
      <c r="G25">
        <v>5.8251317222972093E-4</v>
      </c>
      <c r="H25">
        <v>8.6137508297697105E-4</v>
      </c>
      <c r="I25">
        <v>5.9105389975216776E-4</v>
      </c>
      <c r="J25">
        <v>2.2630763903189904E-4</v>
      </c>
      <c r="K25">
        <v>-3.5956440451767038E-5</v>
      </c>
      <c r="L25">
        <v>4.6634552111257535E-4</v>
      </c>
      <c r="M25">
        <v>6.6770001863517068E-4</v>
      </c>
      <c r="N25">
        <v>-3.2334538101744942E-4</v>
      </c>
      <c r="O25">
        <v>6.7792495682642223E-4</v>
      </c>
      <c r="P25">
        <v>4.6490989408192514E-4</v>
      </c>
      <c r="Q25">
        <v>3.449475310216602E-4</v>
      </c>
      <c r="R25">
        <v>3.0282634072857878E-4</v>
      </c>
      <c r="S25">
        <v>2.0630897956786887E-6</v>
      </c>
      <c r="T25">
        <v>1.4083683661321022E-4</v>
      </c>
      <c r="U25">
        <v>8.3862000083219108E-5</v>
      </c>
      <c r="V25">
        <v>4.6703360460449239E-5</v>
      </c>
      <c r="W25">
        <v>2.3452971006939231E-4</v>
      </c>
      <c r="X25">
        <v>-1.1169057818964686E-3</v>
      </c>
      <c r="Y25">
        <v>-5.648853475763908E-3</v>
      </c>
      <c r="Z25">
        <v>7.0910250857015968E-3</v>
      </c>
      <c r="AA25">
        <v>-3.2957567349821762E-5</v>
      </c>
      <c r="AB25">
        <v>5.1972269184183525E-7</v>
      </c>
      <c r="AC25">
        <v>-3.0391730518859695E-4</v>
      </c>
      <c r="AD25">
        <v>8.3559059098696497E-4</v>
      </c>
      <c r="AE25">
        <v>1.5292925249253426E-4</v>
      </c>
      <c r="AF25">
        <v>-5.3858469823905852E-6</v>
      </c>
      <c r="AG25">
        <v>-3.2793820215335986E-3</v>
      </c>
    </row>
    <row r="26" spans="1:33" x14ac:dyDescent="0.2">
      <c r="A26" t="s">
        <v>65</v>
      </c>
      <c r="B26">
        <v>1.1147671940973094</v>
      </c>
      <c r="C26">
        <v>1.4108071383442776E-4</v>
      </c>
      <c r="D26">
        <v>9.8439901883286057E-4</v>
      </c>
      <c r="E26">
        <v>-1.2660664733080704E-5</v>
      </c>
      <c r="F26">
        <v>1.6125756423785885E-4</v>
      </c>
      <c r="G26">
        <v>7.4526145419232751E-5</v>
      </c>
      <c r="H26">
        <v>-1.283376197510587E-4</v>
      </c>
      <c r="I26">
        <v>6.1357701114587992E-5</v>
      </c>
      <c r="J26">
        <v>-3.269556061460694E-5</v>
      </c>
      <c r="K26">
        <v>1.5771143302640168E-4</v>
      </c>
      <c r="L26">
        <v>-1.6847280942660497E-4</v>
      </c>
      <c r="M26">
        <v>1.7645287899886904E-4</v>
      </c>
      <c r="N26">
        <v>3.3688292776810121E-4</v>
      </c>
      <c r="O26">
        <v>1.1267035734979867E-4</v>
      </c>
      <c r="P26">
        <v>-3.4166569312883525E-4</v>
      </c>
      <c r="Q26">
        <v>-3.0187158031763119E-5</v>
      </c>
      <c r="R26">
        <v>-5.7978161903330565E-4</v>
      </c>
      <c r="S26">
        <v>3.6838962638551583E-5</v>
      </c>
      <c r="T26">
        <v>-5.5815599503210907E-4</v>
      </c>
      <c r="U26">
        <v>-3.7857223279743886E-4</v>
      </c>
      <c r="V26">
        <v>-1.1109390463728414E-3</v>
      </c>
      <c r="W26">
        <v>-6.6149754901783297E-4</v>
      </c>
      <c r="X26">
        <v>-4.9539018716793681E-4</v>
      </c>
      <c r="Y26">
        <v>-1.4454925610264818E-2</v>
      </c>
      <c r="Z26">
        <v>-3.2957567349821762E-5</v>
      </c>
      <c r="AA26">
        <v>3.1185798345170802E-3</v>
      </c>
      <c r="AB26">
        <v>-4.6881640467085088E-5</v>
      </c>
      <c r="AC26">
        <v>-6.9322792491935403E-4</v>
      </c>
      <c r="AD26">
        <v>-7.2815027768409393E-4</v>
      </c>
      <c r="AE26">
        <v>-1.3614351964492885E-3</v>
      </c>
      <c r="AF26">
        <v>1.0088559083502847E-4</v>
      </c>
      <c r="AG26">
        <v>-4.5480007882486323E-2</v>
      </c>
    </row>
    <row r="27" spans="1:33" x14ac:dyDescent="0.2">
      <c r="A27" t="s">
        <v>66</v>
      </c>
      <c r="B27">
        <v>-1.4490874588886074E-2</v>
      </c>
      <c r="C27">
        <v>-2.2392802679362259E-6</v>
      </c>
      <c r="D27">
        <v>-1.2080898048584369E-5</v>
      </c>
      <c r="E27">
        <v>1.6013524162375998E-7</v>
      </c>
      <c r="F27">
        <v>-2.1310125345773567E-6</v>
      </c>
      <c r="G27">
        <v>-3.8387189465763679E-6</v>
      </c>
      <c r="H27">
        <v>1.4208576677604036E-6</v>
      </c>
      <c r="I27">
        <v>-6.8788770182496602E-7</v>
      </c>
      <c r="J27">
        <v>2.1261222755560266E-7</v>
      </c>
      <c r="K27">
        <v>-1.4978714457177954E-6</v>
      </c>
      <c r="L27">
        <v>3.7202298052750612E-6</v>
      </c>
      <c r="M27">
        <v>-1.62438633225942E-6</v>
      </c>
      <c r="N27">
        <v>-3.7219805633909963E-6</v>
      </c>
      <c r="O27">
        <v>-3.3215532348074707E-6</v>
      </c>
      <c r="P27">
        <v>5.0416423242363289E-6</v>
      </c>
      <c r="Q27">
        <v>2.3400993284108744E-7</v>
      </c>
      <c r="R27">
        <v>7.1508258246608228E-6</v>
      </c>
      <c r="S27">
        <v>-6.1699805692676069E-7</v>
      </c>
      <c r="T27">
        <v>8.2777040717044032E-6</v>
      </c>
      <c r="U27">
        <v>7.7807585724281999E-6</v>
      </c>
      <c r="V27">
        <v>1.5733739877383508E-5</v>
      </c>
      <c r="W27">
        <v>4.3959576864070289E-6</v>
      </c>
      <c r="X27">
        <v>3.4810027782785882E-6</v>
      </c>
      <c r="Y27">
        <v>1.7979004592270724E-4</v>
      </c>
      <c r="Z27">
        <v>5.1972269184183525E-7</v>
      </c>
      <c r="AA27">
        <v>-4.6881640467085088E-5</v>
      </c>
      <c r="AB27">
        <v>7.341908731879722E-7</v>
      </c>
      <c r="AC27">
        <v>7.5825834166139117E-6</v>
      </c>
      <c r="AD27">
        <v>8.3090032005287681E-6</v>
      </c>
      <c r="AE27">
        <v>1.9321953176102324E-5</v>
      </c>
      <c r="AF27">
        <v>-1.391470754861915E-6</v>
      </c>
      <c r="AG27">
        <v>6.689782309331968E-4</v>
      </c>
    </row>
    <row r="28" spans="1:33" x14ac:dyDescent="0.2">
      <c r="A28" t="s">
        <v>107</v>
      </c>
      <c r="B28">
        <v>-0.46286116848422726</v>
      </c>
      <c r="C28">
        <v>1.6214221263064741E-3</v>
      </c>
      <c r="D28">
        <v>9.3142613008493844E-5</v>
      </c>
      <c r="E28">
        <v>-1.4683672454909757E-6</v>
      </c>
      <c r="F28">
        <v>-2.6049744252340827E-3</v>
      </c>
      <c r="G28">
        <v>-3.3271849265440463E-3</v>
      </c>
      <c r="H28">
        <v>2.1912014940956945E-2</v>
      </c>
      <c r="I28">
        <v>2.1326067699460858E-2</v>
      </c>
      <c r="J28">
        <v>2.3207631560727346E-2</v>
      </c>
      <c r="K28">
        <v>2.1679290256575095E-2</v>
      </c>
      <c r="L28">
        <v>2.097728957993128E-2</v>
      </c>
      <c r="M28">
        <v>2.1202458066803105E-2</v>
      </c>
      <c r="N28">
        <v>2.1665134553637597E-2</v>
      </c>
      <c r="O28">
        <v>2.2118257642321899E-2</v>
      </c>
      <c r="P28">
        <v>2.2095673503652886E-2</v>
      </c>
      <c r="Q28">
        <v>2.1088533897804611E-2</v>
      </c>
      <c r="R28">
        <v>2.1607241248614656E-2</v>
      </c>
      <c r="S28">
        <v>-3.8736262878783347E-5</v>
      </c>
      <c r="T28">
        <v>-1.3855313806541893E-3</v>
      </c>
      <c r="U28">
        <v>4.5189298183401531E-4</v>
      </c>
      <c r="V28">
        <v>5.9555146281503601E-3</v>
      </c>
      <c r="W28">
        <v>1.9158647115630562E-2</v>
      </c>
      <c r="X28">
        <v>4.5576369167856087E-3</v>
      </c>
      <c r="Y28">
        <v>-2.0566598948599843E-2</v>
      </c>
      <c r="Z28">
        <v>-3.0391730518859695E-4</v>
      </c>
      <c r="AA28">
        <v>-6.9322792491935403E-4</v>
      </c>
      <c r="AB28">
        <v>7.5825834166139117E-6</v>
      </c>
      <c r="AC28">
        <v>4.5150904726177374E-2</v>
      </c>
      <c r="AD28">
        <v>2.3733373106740795E-2</v>
      </c>
      <c r="AE28">
        <v>2.2978250812221448E-2</v>
      </c>
      <c r="AF28">
        <v>-2.2892280419965809E-4</v>
      </c>
      <c r="AG28">
        <v>-5.0459803630414704E-3</v>
      </c>
    </row>
    <row r="29" spans="1:33" x14ac:dyDescent="0.2">
      <c r="A29" t="s">
        <v>108</v>
      </c>
      <c r="B29">
        <v>-0.69714558169245056</v>
      </c>
      <c r="C29">
        <v>2.0130624461740057E-3</v>
      </c>
      <c r="D29">
        <v>2.7485515313993569E-5</v>
      </c>
      <c r="E29">
        <v>-2.7693475177948144E-7</v>
      </c>
      <c r="F29">
        <v>-1.051349563783441E-3</v>
      </c>
      <c r="G29">
        <v>-3.1326169314584889E-3</v>
      </c>
      <c r="H29">
        <v>2.4904118442920998E-2</v>
      </c>
      <c r="I29">
        <v>2.3931387216329827E-2</v>
      </c>
      <c r="J29">
        <v>2.3737886069599489E-2</v>
      </c>
      <c r="K29">
        <v>2.4197919330234907E-2</v>
      </c>
      <c r="L29">
        <v>2.3070292915215583E-2</v>
      </c>
      <c r="M29">
        <v>2.3824463025666414E-2</v>
      </c>
      <c r="N29">
        <v>2.4138334291259285E-2</v>
      </c>
      <c r="O29">
        <v>2.4977056079056252E-2</v>
      </c>
      <c r="P29">
        <v>2.5278286896001454E-2</v>
      </c>
      <c r="Q29">
        <v>2.6018377144741291E-2</v>
      </c>
      <c r="R29">
        <v>2.465407462344802E-2</v>
      </c>
      <c r="S29">
        <v>-5.5014756083060051E-5</v>
      </c>
      <c r="T29">
        <v>-3.0198417165604357E-3</v>
      </c>
      <c r="U29">
        <v>2.7791442171922675E-3</v>
      </c>
      <c r="V29">
        <v>9.6869083082272642E-3</v>
      </c>
      <c r="W29">
        <v>3.0960871685121575E-2</v>
      </c>
      <c r="X29">
        <v>5.8648316326962999E-3</v>
      </c>
      <c r="Y29">
        <v>-2.3776704730119301E-2</v>
      </c>
      <c r="Z29">
        <v>8.3559059098696497E-4</v>
      </c>
      <c r="AA29">
        <v>-7.2815027768409393E-4</v>
      </c>
      <c r="AB29">
        <v>8.3090032005287681E-6</v>
      </c>
      <c r="AC29">
        <v>2.3733373106740795E-2</v>
      </c>
      <c r="AD29">
        <v>5.5066717882297923E-2</v>
      </c>
      <c r="AE29">
        <v>2.6150702397333855E-2</v>
      </c>
      <c r="AF29">
        <v>-1.2036486461068142E-5</v>
      </c>
      <c r="AG29">
        <v>-1.3287454622453319E-2</v>
      </c>
    </row>
    <row r="30" spans="1:33" x14ac:dyDescent="0.2">
      <c r="A30" t="s">
        <v>109</v>
      </c>
      <c r="B30">
        <v>-8.3509875930031396E-2</v>
      </c>
      <c r="C30">
        <v>1.9343270299386271E-3</v>
      </c>
      <c r="D30">
        <v>5.4043520880090075E-5</v>
      </c>
      <c r="E30">
        <v>-1.9349686202412919E-7</v>
      </c>
      <c r="F30">
        <v>-2.2312664703253342E-3</v>
      </c>
      <c r="G30">
        <v>-5.0464726266827159E-3</v>
      </c>
      <c r="H30">
        <v>2.4085959116260228E-2</v>
      </c>
      <c r="I30">
        <v>2.3012755903813773E-2</v>
      </c>
      <c r="J30">
        <v>2.28215829054043E-2</v>
      </c>
      <c r="K30">
        <v>2.3686970450279753E-2</v>
      </c>
      <c r="L30">
        <v>2.2458351514628678E-2</v>
      </c>
      <c r="M30">
        <v>2.2966313678594363E-2</v>
      </c>
      <c r="N30">
        <v>2.3485664732463163E-2</v>
      </c>
      <c r="O30">
        <v>2.3742269644851807E-2</v>
      </c>
      <c r="P30">
        <v>2.4065451117886008E-2</v>
      </c>
      <c r="Q30">
        <v>2.3229726919669388E-2</v>
      </c>
      <c r="R30">
        <v>2.6537578169495896E-2</v>
      </c>
      <c r="S30">
        <v>-6.8958887585822155E-5</v>
      </c>
      <c r="T30">
        <v>-3.2088031881402621E-3</v>
      </c>
      <c r="U30">
        <v>2.7654108393226906E-5</v>
      </c>
      <c r="V30">
        <v>9.8448774065610593E-3</v>
      </c>
      <c r="W30">
        <v>2.2529652387877859E-2</v>
      </c>
      <c r="X30">
        <v>5.4029591209357403E-3</v>
      </c>
      <c r="Y30">
        <v>-2.1599954348786615E-2</v>
      </c>
      <c r="Z30">
        <v>1.5292925249253426E-4</v>
      </c>
      <c r="AA30">
        <v>-1.3614351964492885E-3</v>
      </c>
      <c r="AB30">
        <v>1.9321953176102324E-5</v>
      </c>
      <c r="AC30">
        <v>2.2978250812221448E-2</v>
      </c>
      <c r="AD30">
        <v>2.6150702397333855E-2</v>
      </c>
      <c r="AE30">
        <v>4.4683591253219565E-2</v>
      </c>
      <c r="AF30">
        <v>-1.6630800479338129E-4</v>
      </c>
      <c r="AG30">
        <v>6.2016455167088896E-4</v>
      </c>
    </row>
    <row r="31" spans="1:33" x14ac:dyDescent="0.2">
      <c r="A31" t="s">
        <v>67</v>
      </c>
      <c r="B31">
        <v>2.4101308431615596E-2</v>
      </c>
      <c r="C31">
        <v>2.4415076002947672E-5</v>
      </c>
      <c r="D31">
        <v>5.2830963726673138E-5</v>
      </c>
      <c r="E31">
        <v>-7.3495470283563946E-7</v>
      </c>
      <c r="F31">
        <v>1.1258851822526993E-4</v>
      </c>
      <c r="G31">
        <v>1.7632230829250087E-4</v>
      </c>
      <c r="H31">
        <v>-1.3716259608831469E-4</v>
      </c>
      <c r="I31">
        <v>-5.8930448528003482E-5</v>
      </c>
      <c r="J31">
        <v>-1.2295187384224991E-4</v>
      </c>
      <c r="K31">
        <v>-4.7570896437943225E-5</v>
      </c>
      <c r="L31">
        <v>-1.8080930099085386E-4</v>
      </c>
      <c r="M31">
        <v>-1.7285322471032277E-4</v>
      </c>
      <c r="N31">
        <v>1.1811041558872689E-5</v>
      </c>
      <c r="O31">
        <v>-1.8163732767119867E-4</v>
      </c>
      <c r="P31">
        <v>1.1555094445186878E-4</v>
      </c>
      <c r="Q31">
        <v>-5.8091927912636509E-5</v>
      </c>
      <c r="R31">
        <v>-1.1731847605037668E-4</v>
      </c>
      <c r="S31">
        <v>3.6706195798853304E-5</v>
      </c>
      <c r="T31">
        <v>-5.1763237891912066E-4</v>
      </c>
      <c r="U31">
        <v>-6.3260456349754153E-4</v>
      </c>
      <c r="V31">
        <v>-1.6182202753126118E-4</v>
      </c>
      <c r="W31">
        <v>3.5717021064198852E-4</v>
      </c>
      <c r="X31">
        <v>-9.0469357916775242E-5</v>
      </c>
      <c r="Y31">
        <v>-1.3376222144853289E-3</v>
      </c>
      <c r="Z31">
        <v>-5.3858469823905852E-6</v>
      </c>
      <c r="AA31">
        <v>1.0088559083502847E-4</v>
      </c>
      <c r="AB31">
        <v>-1.391470754861915E-6</v>
      </c>
      <c r="AC31">
        <v>-2.2892280419965809E-4</v>
      </c>
      <c r="AD31">
        <v>-1.2036486461068142E-5</v>
      </c>
      <c r="AE31">
        <v>-1.6630800479338129E-4</v>
      </c>
      <c r="AF31">
        <v>1.6040825288001875E-4</v>
      </c>
      <c r="AG31">
        <v>-4.1016079058955358E-3</v>
      </c>
    </row>
    <row r="32" spans="1:33" x14ac:dyDescent="0.2">
      <c r="A32" t="s">
        <v>68</v>
      </c>
      <c r="B32">
        <v>-17.698016357160988</v>
      </c>
      <c r="C32">
        <v>-5.4443406323853808E-3</v>
      </c>
      <c r="D32">
        <v>-1.6776751880321877E-2</v>
      </c>
      <c r="E32">
        <v>2.1417812057509741E-4</v>
      </c>
      <c r="F32">
        <v>-1.0833100352914543E-2</v>
      </c>
      <c r="G32">
        <v>-7.701336260877753E-3</v>
      </c>
      <c r="H32">
        <v>-1.7679969762903994E-2</v>
      </c>
      <c r="I32">
        <v>-2.1496533086399663E-2</v>
      </c>
      <c r="J32">
        <v>-1.8593067533058935E-2</v>
      </c>
      <c r="K32">
        <v>-2.3323939902983815E-2</v>
      </c>
      <c r="L32">
        <v>-1.5789504255160902E-2</v>
      </c>
      <c r="M32">
        <v>-2.1493979067758434E-2</v>
      </c>
      <c r="N32">
        <v>-2.6055819339710712E-2</v>
      </c>
      <c r="O32">
        <v>-2.00619604048487E-2</v>
      </c>
      <c r="P32">
        <v>-1.9456956870592318E-2</v>
      </c>
      <c r="Q32">
        <v>-2.0370274338742764E-2</v>
      </c>
      <c r="R32">
        <v>-1.0469143389768121E-2</v>
      </c>
      <c r="S32">
        <v>-9.2428775160333446E-4</v>
      </c>
      <c r="T32">
        <v>1.670369870222032E-2</v>
      </c>
      <c r="U32">
        <v>1.1347514178049054E-2</v>
      </c>
      <c r="V32">
        <v>1.0212226857828719E-2</v>
      </c>
      <c r="W32">
        <v>-1.6032295173005341E-2</v>
      </c>
      <c r="X32">
        <v>4.6087979207844777E-3</v>
      </c>
      <c r="Y32">
        <v>0.28036206707505107</v>
      </c>
      <c r="Z32">
        <v>-3.2793820215335986E-3</v>
      </c>
      <c r="AA32">
        <v>-4.5480007882486323E-2</v>
      </c>
      <c r="AB32">
        <v>6.689782309331968E-4</v>
      </c>
      <c r="AC32">
        <v>-5.0459803630414704E-3</v>
      </c>
      <c r="AD32">
        <v>-1.3287454622453319E-2</v>
      </c>
      <c r="AE32">
        <v>6.2016455167088896E-4</v>
      </c>
      <c r="AF32">
        <v>-4.1016079058955358E-3</v>
      </c>
      <c r="AG32">
        <v>0.74179491716981394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9"/>
  <sheetViews>
    <sheetView workbookViewId="0">
      <selection activeCell="X1" sqref="X1"/>
    </sheetView>
  </sheetViews>
  <sheetFormatPr baseColWidth="10" defaultColWidth="8.83203125" defaultRowHeight="15" x14ac:dyDescent="0.2"/>
  <sheetData>
    <row r="1" spans="1:30" x14ac:dyDescent="0.2">
      <c r="A1" t="s">
        <v>17</v>
      </c>
      <c r="B1" t="s">
        <v>18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132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32</v>
      </c>
    </row>
    <row r="2" spans="1:30" x14ac:dyDescent="0.2">
      <c r="A2" t="s">
        <v>72</v>
      </c>
      <c r="B2">
        <v>-1.3450267340907237E-2</v>
      </c>
      <c r="C2">
        <v>7.4882146277237477E-4</v>
      </c>
      <c r="D2">
        <v>1.9883174500787484E-4</v>
      </c>
      <c r="E2">
        <v>-6.0808292682466748E-6</v>
      </c>
      <c r="F2">
        <v>-2.263038697073593E-5</v>
      </c>
      <c r="G2">
        <v>2.4630811047989887E-4</v>
      </c>
      <c r="H2">
        <v>1.1751241928916309E-4</v>
      </c>
      <c r="I2">
        <v>1.1307216359268452E-4</v>
      </c>
      <c r="J2">
        <v>-2.4262099660484008E-4</v>
      </c>
      <c r="K2">
        <v>-1.4388810296395979E-4</v>
      </c>
      <c r="L2">
        <v>-1.1667989126827046E-4</v>
      </c>
      <c r="M2">
        <v>6.9992458358972471E-5</v>
      </c>
      <c r="N2">
        <v>4.1800448809526069E-5</v>
      </c>
      <c r="O2">
        <v>3.2535278975680453E-5</v>
      </c>
      <c r="P2">
        <v>2.4765096317400559E-5</v>
      </c>
      <c r="Q2">
        <v>2.8722298748623748E-4</v>
      </c>
      <c r="R2">
        <v>-1.1172609271827157E-7</v>
      </c>
      <c r="S2">
        <v>1.1985221543228737E-5</v>
      </c>
      <c r="T2">
        <v>3.5983685826644998E-5</v>
      </c>
      <c r="U2">
        <v>4.101979981343317E-5</v>
      </c>
      <c r="V2">
        <v>1.2075529687144611E-4</v>
      </c>
      <c r="W2">
        <v>7.0332476489904774E-5</v>
      </c>
      <c r="X2">
        <v>1.0523831045527174E-5</v>
      </c>
      <c r="Y2">
        <v>-1.7178989814278193E-5</v>
      </c>
      <c r="Z2">
        <v>-1.6892620356245337E-5</v>
      </c>
      <c r="AA2">
        <v>-4.8694360684324142E-5</v>
      </c>
      <c r="AB2">
        <v>7.4015816498435271E-5</v>
      </c>
      <c r="AC2">
        <v>4.5068847409869333E-4</v>
      </c>
      <c r="AD2">
        <v>-2.2265493552629714E-3</v>
      </c>
    </row>
    <row r="3" spans="1:30" x14ac:dyDescent="0.2">
      <c r="A3" t="s">
        <v>73</v>
      </c>
      <c r="B3">
        <v>-1.1878095565684739</v>
      </c>
      <c r="C3">
        <v>1.9883174500787484E-4</v>
      </c>
      <c r="D3">
        <v>8.2922525028051586E-3</v>
      </c>
      <c r="E3">
        <v>-2.0490720430308015E-4</v>
      </c>
      <c r="F3">
        <v>-2.6702461243590433E-4</v>
      </c>
      <c r="G3">
        <v>1.0041546481523826E-3</v>
      </c>
      <c r="H3">
        <v>1.2185705025671012E-3</v>
      </c>
      <c r="I3">
        <v>5.407193211324976E-4</v>
      </c>
      <c r="J3">
        <v>-3.3497005664798185E-4</v>
      </c>
      <c r="K3">
        <v>1.4508695770470308E-3</v>
      </c>
      <c r="L3">
        <v>1.1547460012433786E-3</v>
      </c>
      <c r="M3">
        <v>-1.5670448272810111E-4</v>
      </c>
      <c r="N3">
        <v>-5.5626666950162225E-4</v>
      </c>
      <c r="O3">
        <v>-6.6402617128837483E-4</v>
      </c>
      <c r="P3">
        <v>-7.8639849310117686E-4</v>
      </c>
      <c r="Q3">
        <v>-3.4195253867567721E-3</v>
      </c>
      <c r="R3">
        <v>-4.1804159841461394E-4</v>
      </c>
      <c r="S3">
        <v>-5.7259355999722192E-4</v>
      </c>
      <c r="T3">
        <v>-5.2946466381201913E-4</v>
      </c>
      <c r="U3">
        <v>-7.413027773302916E-4</v>
      </c>
      <c r="V3">
        <v>-2.4903477094570352E-4</v>
      </c>
      <c r="W3">
        <v>-9.016160009233283E-4</v>
      </c>
      <c r="X3">
        <v>-1.1664901144921649E-4</v>
      </c>
      <c r="Y3">
        <v>6.2169815174991164E-4</v>
      </c>
      <c r="Z3">
        <v>8.3396681225842567E-4</v>
      </c>
      <c r="AA3">
        <v>2.193212332953871E-4</v>
      </c>
      <c r="AB3">
        <v>1.3127970346080153E-4</v>
      </c>
      <c r="AC3">
        <v>-4.8710971082767118E-3</v>
      </c>
      <c r="AD3">
        <v>-8.0709593916744371E-2</v>
      </c>
    </row>
    <row r="4" spans="1:30" x14ac:dyDescent="0.2">
      <c r="A4" t="s">
        <v>74</v>
      </c>
      <c r="B4">
        <v>2.4709215410986664E-2</v>
      </c>
      <c r="C4">
        <v>-6.0808292682466748E-6</v>
      </c>
      <c r="D4">
        <v>-2.0490720430308015E-4</v>
      </c>
      <c r="E4">
        <v>5.1054098525926393E-6</v>
      </c>
      <c r="F4">
        <v>8.776480618145934E-6</v>
      </c>
      <c r="G4">
        <v>-2.6662489890241108E-5</v>
      </c>
      <c r="H4">
        <v>-3.0064560409632249E-5</v>
      </c>
      <c r="I4">
        <v>-1.3033552180777362E-5</v>
      </c>
      <c r="J4">
        <v>1.5253603276591129E-5</v>
      </c>
      <c r="K4">
        <v>-3.0183286661189041E-5</v>
      </c>
      <c r="L4">
        <v>-2.3049929606915021E-5</v>
      </c>
      <c r="M4">
        <v>5.4307615981761333E-6</v>
      </c>
      <c r="N4">
        <v>1.4578307539850365E-5</v>
      </c>
      <c r="O4">
        <v>1.7576396017868532E-5</v>
      </c>
      <c r="P4">
        <v>2.0445694759220029E-5</v>
      </c>
      <c r="Q4">
        <v>8.5051662588562843E-5</v>
      </c>
      <c r="R4">
        <v>1.1121726042280256E-5</v>
      </c>
      <c r="S4">
        <v>1.4781329390182372E-5</v>
      </c>
      <c r="T4">
        <v>1.3831264349832548E-5</v>
      </c>
      <c r="U4">
        <v>1.9043531674285355E-5</v>
      </c>
      <c r="V4">
        <v>6.4012248909686763E-6</v>
      </c>
      <c r="W4">
        <v>2.2677044974052883E-5</v>
      </c>
      <c r="X4">
        <v>2.9146758317668718E-6</v>
      </c>
      <c r="Y4">
        <v>-1.5684506930409292E-5</v>
      </c>
      <c r="Z4">
        <v>-2.0873505732242896E-5</v>
      </c>
      <c r="AA4">
        <v>-4.5863203436679874E-6</v>
      </c>
      <c r="AB4">
        <v>-3.9738079142332327E-6</v>
      </c>
      <c r="AC4">
        <v>1.2000659517936866E-4</v>
      </c>
      <c r="AD4">
        <v>1.9747701773454706E-3</v>
      </c>
    </row>
    <row r="5" spans="1:30" x14ac:dyDescent="0.2">
      <c r="A5" t="s">
        <v>75</v>
      </c>
      <c r="B5">
        <v>0.32099295708930331</v>
      </c>
      <c r="C5">
        <v>-2.263038697073593E-5</v>
      </c>
      <c r="D5">
        <v>-2.6702461243590433E-4</v>
      </c>
      <c r="E5">
        <v>8.776480618145934E-6</v>
      </c>
      <c r="F5">
        <v>1.3921944729743357E-3</v>
      </c>
      <c r="G5">
        <v>6.3599899156866922E-5</v>
      </c>
      <c r="H5">
        <v>6.6234766829972462E-5</v>
      </c>
      <c r="I5">
        <v>4.0477602865600999E-5</v>
      </c>
      <c r="J5">
        <v>2.7179606671903501E-5</v>
      </c>
      <c r="K5">
        <v>-7.3058310394616508E-7</v>
      </c>
      <c r="L5">
        <v>8.8113933482223182E-6</v>
      </c>
      <c r="M5">
        <v>2.9379411939216288E-4</v>
      </c>
      <c r="N5">
        <v>1.389461442970753E-4</v>
      </c>
      <c r="O5">
        <v>1.377860898114154E-4</v>
      </c>
      <c r="P5">
        <v>1.5538066531878142E-4</v>
      </c>
      <c r="Q5">
        <v>3.7287005911283071E-4</v>
      </c>
      <c r="R5">
        <v>2.3347655734599858E-4</v>
      </c>
      <c r="S5">
        <v>1.603969764431074E-4</v>
      </c>
      <c r="T5">
        <v>1.7332177927546628E-4</v>
      </c>
      <c r="U5">
        <v>1.8591294892749487E-4</v>
      </c>
      <c r="V5">
        <v>2.3194974451122482E-4</v>
      </c>
      <c r="W5">
        <v>1.3036369904812376E-4</v>
      </c>
      <c r="X5">
        <v>3.3849538061186298E-5</v>
      </c>
      <c r="Y5">
        <v>-7.1747631212765232E-5</v>
      </c>
      <c r="Z5">
        <v>-9.5194835081717694E-5</v>
      </c>
      <c r="AA5">
        <v>1.8124216979493249E-5</v>
      </c>
      <c r="AB5">
        <v>4.0182337228844746E-5</v>
      </c>
      <c r="AC5">
        <v>3.8860826710647943E-4</v>
      </c>
      <c r="AD5">
        <v>-7.977393718193275E-5</v>
      </c>
    </row>
    <row r="6" spans="1:30" x14ac:dyDescent="0.2">
      <c r="A6" t="s">
        <v>76</v>
      </c>
      <c r="B6">
        <v>-0.26246412717191964</v>
      </c>
      <c r="C6">
        <v>2.4630811047989887E-4</v>
      </c>
      <c r="D6">
        <v>1.0041546481523826E-3</v>
      </c>
      <c r="E6">
        <v>-2.6662489890241108E-5</v>
      </c>
      <c r="F6">
        <v>6.3599899156866922E-5</v>
      </c>
      <c r="G6">
        <v>1.5306513474063975E-3</v>
      </c>
      <c r="H6">
        <v>1.2020305890393485E-3</v>
      </c>
      <c r="I6">
        <v>2.6405406264429264E-4</v>
      </c>
      <c r="J6">
        <v>-6.5119705681473527E-4</v>
      </c>
      <c r="K6">
        <v>-1.6448699041819818E-4</v>
      </c>
      <c r="L6">
        <v>1.8250705334549159E-5</v>
      </c>
      <c r="M6">
        <v>-2.8684821604609174E-6</v>
      </c>
      <c r="N6">
        <v>-1.1590208051227841E-4</v>
      </c>
      <c r="O6">
        <v>-1.7615971003354808E-4</v>
      </c>
      <c r="P6">
        <v>-1.8406299545512775E-4</v>
      </c>
      <c r="Q6">
        <v>-2.7700732922888126E-4</v>
      </c>
      <c r="R6">
        <v>-1.7546188326540018E-4</v>
      </c>
      <c r="S6">
        <v>-1.0558531793131804E-4</v>
      </c>
      <c r="T6">
        <v>-6.4714557881555518E-5</v>
      </c>
      <c r="U6">
        <v>-1.9940524603677835E-4</v>
      </c>
      <c r="V6">
        <v>2.5335738968033873E-5</v>
      </c>
      <c r="W6">
        <v>-1.4476789003550327E-4</v>
      </c>
      <c r="X6">
        <v>7.6651063498839388E-6</v>
      </c>
      <c r="Y6">
        <v>3.4480917947554701E-5</v>
      </c>
      <c r="Z6">
        <v>8.1103168155945886E-5</v>
      </c>
      <c r="AA6">
        <v>-3.9984435256550273E-5</v>
      </c>
      <c r="AB6">
        <v>1.4124012295460174E-4</v>
      </c>
      <c r="AC6">
        <v>-1.0772719296425672E-4</v>
      </c>
      <c r="AD6">
        <v>-1.0545753980264239E-2</v>
      </c>
    </row>
    <row r="7" spans="1:30" x14ac:dyDescent="0.2">
      <c r="A7" t="s">
        <v>77</v>
      </c>
      <c r="B7">
        <v>-0.42167057306731043</v>
      </c>
      <c r="C7">
        <v>1.1751241928916309E-4</v>
      </c>
      <c r="D7">
        <v>1.2185705025671012E-3</v>
      </c>
      <c r="E7">
        <v>-3.0064560409632249E-5</v>
      </c>
      <c r="F7">
        <v>6.6234766829972462E-5</v>
      </c>
      <c r="G7">
        <v>1.2020305890393485E-3</v>
      </c>
      <c r="H7">
        <v>2.1998988264564289E-3</v>
      </c>
      <c r="I7">
        <v>2.6464784662039468E-4</v>
      </c>
      <c r="J7">
        <v>-3.4352965066534926E-4</v>
      </c>
      <c r="K7">
        <v>1.3060513790283938E-4</v>
      </c>
      <c r="L7">
        <v>3.9836436431154221E-4</v>
      </c>
      <c r="M7">
        <v>5.4305502581627509E-5</v>
      </c>
      <c r="N7">
        <v>-6.3730793825371663E-5</v>
      </c>
      <c r="O7">
        <v>-2.4545866750465609E-4</v>
      </c>
      <c r="P7">
        <v>-2.515489523161362E-4</v>
      </c>
      <c r="Q7">
        <v>-6.136653678377197E-4</v>
      </c>
      <c r="R7">
        <v>-2.2947174534304181E-4</v>
      </c>
      <c r="S7">
        <v>-1.1203363466963509E-4</v>
      </c>
      <c r="T7">
        <v>-7.5165106058647029E-5</v>
      </c>
      <c r="U7">
        <v>-2.8497768339570841E-4</v>
      </c>
      <c r="V7">
        <v>-3.5515302707538141E-6</v>
      </c>
      <c r="W7">
        <v>-3.4335487985991098E-4</v>
      </c>
      <c r="X7">
        <v>9.5205732427708009E-6</v>
      </c>
      <c r="Y7">
        <v>7.4593468318766114E-5</v>
      </c>
      <c r="Z7">
        <v>1.1560221715485467E-4</v>
      </c>
      <c r="AA7">
        <v>-1.7922662571661448E-4</v>
      </c>
      <c r="AB7">
        <v>4.1752556163291137E-5</v>
      </c>
      <c r="AC7">
        <v>-7.2096375656941977E-4</v>
      </c>
      <c r="AD7">
        <v>-1.339332173204736E-2</v>
      </c>
    </row>
    <row r="8" spans="1:30" x14ac:dyDescent="0.2">
      <c r="A8" t="s">
        <v>78</v>
      </c>
      <c r="B8">
        <v>-7.6391105404253729E-2</v>
      </c>
      <c r="C8">
        <v>1.1307216359268452E-4</v>
      </c>
      <c r="D8">
        <v>5.407193211324976E-4</v>
      </c>
      <c r="E8">
        <v>-1.3033552180777362E-5</v>
      </c>
      <c r="F8">
        <v>4.0477602865600999E-5</v>
      </c>
      <c r="G8">
        <v>2.6405406264429264E-4</v>
      </c>
      <c r="H8">
        <v>2.6464784662039468E-4</v>
      </c>
      <c r="I8">
        <v>1.6683441877267673E-3</v>
      </c>
      <c r="J8">
        <v>3.2763873267493233E-4</v>
      </c>
      <c r="K8">
        <v>5.3601792934125127E-4</v>
      </c>
      <c r="L8">
        <v>5.636594417725042E-4</v>
      </c>
      <c r="M8">
        <v>4.7965978689797767E-4</v>
      </c>
      <c r="N8">
        <v>9.5451116172485563E-5</v>
      </c>
      <c r="O8">
        <v>-6.9903622962254222E-6</v>
      </c>
      <c r="P8">
        <v>5.0935569198882038E-5</v>
      </c>
      <c r="Q8">
        <v>3.1001779549920741E-4</v>
      </c>
      <c r="R8">
        <v>-3.4685519360753633E-6</v>
      </c>
      <c r="S8">
        <v>8.6846804898733725E-5</v>
      </c>
      <c r="T8">
        <v>1.6521936280425396E-5</v>
      </c>
      <c r="U8">
        <v>7.8963806441542759E-5</v>
      </c>
      <c r="V8">
        <v>1.2505090391406212E-4</v>
      </c>
      <c r="W8">
        <v>1.1190051494256673E-4</v>
      </c>
      <c r="X8">
        <v>3.0927037115809812E-5</v>
      </c>
      <c r="Y8">
        <v>-1.1683992310654182E-4</v>
      </c>
      <c r="Z8">
        <v>-1.208335870929245E-4</v>
      </c>
      <c r="AA8">
        <v>1.9209076984278984E-4</v>
      </c>
      <c r="AB8">
        <v>1.1836882051827744E-4</v>
      </c>
      <c r="AC8">
        <v>5.4508383753888723E-4</v>
      </c>
      <c r="AD8">
        <v>-6.8764092453153097E-3</v>
      </c>
    </row>
    <row r="9" spans="1:30" x14ac:dyDescent="0.2">
      <c r="A9" t="s">
        <v>79</v>
      </c>
      <c r="B9">
        <v>-0.39833595279459977</v>
      </c>
      <c r="C9">
        <v>-2.4262099660484008E-4</v>
      </c>
      <c r="D9">
        <v>-3.3497005664798185E-4</v>
      </c>
      <c r="E9">
        <v>1.5253603276591129E-5</v>
      </c>
      <c r="F9">
        <v>2.7179606671903501E-5</v>
      </c>
      <c r="G9">
        <v>-6.5119705681473527E-4</v>
      </c>
      <c r="H9">
        <v>-3.4352965066534926E-4</v>
      </c>
      <c r="I9">
        <v>3.2763873267493233E-4</v>
      </c>
      <c r="J9">
        <v>3.0524760467351853E-3</v>
      </c>
      <c r="K9">
        <v>1.3489939836281773E-3</v>
      </c>
      <c r="L9">
        <v>1.2915913075170547E-3</v>
      </c>
      <c r="M9">
        <v>2.1664606788482366E-4</v>
      </c>
      <c r="N9">
        <v>1.7401513970650376E-4</v>
      </c>
      <c r="O9">
        <v>2.5261418592487875E-4</v>
      </c>
      <c r="P9">
        <v>2.1329695683910358E-4</v>
      </c>
      <c r="Q9">
        <v>5.405180855547545E-4</v>
      </c>
      <c r="R9">
        <v>1.2314392022064148E-4</v>
      </c>
      <c r="S9">
        <v>1.7756323160314979E-4</v>
      </c>
      <c r="T9">
        <v>1.2946508456710662E-4</v>
      </c>
      <c r="U9">
        <v>1.621901365986974E-4</v>
      </c>
      <c r="V9">
        <v>8.5529316602111268E-5</v>
      </c>
      <c r="W9">
        <v>2.2375137073486068E-4</v>
      </c>
      <c r="X9">
        <v>2.3310338149266745E-5</v>
      </c>
      <c r="Y9">
        <v>-1.2998299185991609E-4</v>
      </c>
      <c r="Z9">
        <v>-9.8802579107300573E-5</v>
      </c>
      <c r="AA9">
        <v>2.2043579596115045E-4</v>
      </c>
      <c r="AB9">
        <v>7.1117010770102573E-5</v>
      </c>
      <c r="AC9">
        <v>7.7676453122394601E-4</v>
      </c>
      <c r="AD9">
        <v>-1.822581235850218E-4</v>
      </c>
    </row>
    <row r="10" spans="1:30" x14ac:dyDescent="0.2">
      <c r="A10" t="s">
        <v>80</v>
      </c>
      <c r="B10">
        <v>-0.34339504313305025</v>
      </c>
      <c r="C10">
        <v>-1.4388810296395979E-4</v>
      </c>
      <c r="D10">
        <v>1.4508695770470308E-3</v>
      </c>
      <c r="E10">
        <v>-3.0183286661189041E-5</v>
      </c>
      <c r="F10">
        <v>-7.3058310394616508E-7</v>
      </c>
      <c r="G10">
        <v>-1.6448699041819818E-4</v>
      </c>
      <c r="H10">
        <v>1.3060513790283938E-4</v>
      </c>
      <c r="I10">
        <v>5.3601792934125127E-4</v>
      </c>
      <c r="J10">
        <v>1.3489939836281773E-3</v>
      </c>
      <c r="K10">
        <v>2.6092094512980306E-3</v>
      </c>
      <c r="L10">
        <v>1.3719017455040843E-3</v>
      </c>
      <c r="M10">
        <v>1.252886253538775E-4</v>
      </c>
      <c r="N10">
        <v>-6.4447389577978846E-5</v>
      </c>
      <c r="O10">
        <v>2.1924801813358102E-5</v>
      </c>
      <c r="P10">
        <v>-1.1344620015073682E-4</v>
      </c>
      <c r="Q10">
        <v>-5.7417155401143227E-4</v>
      </c>
      <c r="R10">
        <v>-7.4974141041133854E-6</v>
      </c>
      <c r="S10">
        <v>-7.3720507367445575E-5</v>
      </c>
      <c r="T10">
        <v>-1.9708813874063031E-4</v>
      </c>
      <c r="U10">
        <v>-8.3924010726887563E-5</v>
      </c>
      <c r="V10">
        <v>-9.3580766698447577E-5</v>
      </c>
      <c r="W10">
        <v>-8.1171890783941943E-5</v>
      </c>
      <c r="X10">
        <v>-3.4886106032704783E-6</v>
      </c>
      <c r="Y10">
        <v>-2.5904905366143371E-5</v>
      </c>
      <c r="Z10">
        <v>-1.1188518787947146E-5</v>
      </c>
      <c r="AA10">
        <v>2.8762537659186805E-4</v>
      </c>
      <c r="AB10">
        <v>5.3221582430673132E-5</v>
      </c>
      <c r="AC10">
        <v>-8.0661434856450082E-4</v>
      </c>
      <c r="AD10">
        <v>-1.7054686771468514E-2</v>
      </c>
    </row>
    <row r="11" spans="1:30" x14ac:dyDescent="0.2">
      <c r="A11" t="s">
        <v>81</v>
      </c>
      <c r="B11">
        <v>-0.41007982045858427</v>
      </c>
      <c r="C11">
        <v>-1.1667989126827046E-4</v>
      </c>
      <c r="D11">
        <v>1.1547460012433786E-3</v>
      </c>
      <c r="E11">
        <v>-2.3049929606915021E-5</v>
      </c>
      <c r="F11">
        <v>8.8113933482223182E-6</v>
      </c>
      <c r="G11">
        <v>1.8250705334549159E-5</v>
      </c>
      <c r="H11">
        <v>3.9836436431154221E-4</v>
      </c>
      <c r="I11">
        <v>5.636594417725042E-4</v>
      </c>
      <c r="J11">
        <v>1.2915913075170547E-3</v>
      </c>
      <c r="K11">
        <v>1.3719017455040843E-3</v>
      </c>
      <c r="L11">
        <v>2.3836088407282745E-3</v>
      </c>
      <c r="M11">
        <v>3.0028063021803053E-4</v>
      </c>
      <c r="N11">
        <v>4.3439034558239234E-5</v>
      </c>
      <c r="O11">
        <v>8.7988770363271436E-5</v>
      </c>
      <c r="P11">
        <v>7.3254201312247282E-5</v>
      </c>
      <c r="Q11">
        <v>-3.2040202098336523E-4</v>
      </c>
      <c r="R11">
        <v>-6.9031308071361604E-5</v>
      </c>
      <c r="S11">
        <v>-6.0481050818080896E-6</v>
      </c>
      <c r="T11">
        <v>9.5202112191633114E-6</v>
      </c>
      <c r="U11">
        <v>7.0117057080988773E-5</v>
      </c>
      <c r="V11">
        <v>7.13598793981602E-6</v>
      </c>
      <c r="W11">
        <v>7.2547013291307354E-5</v>
      </c>
      <c r="X11">
        <v>-8.0013061899146705E-6</v>
      </c>
      <c r="Y11">
        <v>5.0252998068945828E-5</v>
      </c>
      <c r="Z11">
        <v>8.3623727144837082E-5</v>
      </c>
      <c r="AA11">
        <v>3.5553502780588122E-4</v>
      </c>
      <c r="AB11">
        <v>2.1007066060941583E-4</v>
      </c>
      <c r="AC11">
        <v>-5.8573292207390187E-4</v>
      </c>
      <c r="AD11">
        <v>-1.4262865410669956E-2</v>
      </c>
    </row>
    <row r="12" spans="1:30" x14ac:dyDescent="0.2">
      <c r="A12" t="s">
        <v>82</v>
      </c>
      <c r="B12">
        <v>7.0957692167224543E-2</v>
      </c>
      <c r="C12">
        <v>6.9992458358972471E-5</v>
      </c>
      <c r="D12">
        <v>-1.5670448272810111E-4</v>
      </c>
      <c r="E12">
        <v>5.4307615981761333E-6</v>
      </c>
      <c r="F12">
        <v>2.9379411939216288E-4</v>
      </c>
      <c r="G12">
        <v>-2.8684821604609174E-6</v>
      </c>
      <c r="H12">
        <v>5.4305502581627509E-5</v>
      </c>
      <c r="I12">
        <v>4.7965978689797767E-4</v>
      </c>
      <c r="J12">
        <v>2.1664606788482366E-4</v>
      </c>
      <c r="K12">
        <v>1.252886253538775E-4</v>
      </c>
      <c r="L12">
        <v>3.0028063021803053E-4</v>
      </c>
      <c r="M12">
        <v>7.2150569414412688E-3</v>
      </c>
      <c r="N12">
        <v>2.1434566593223868E-3</v>
      </c>
      <c r="O12">
        <v>2.1620851374872527E-3</v>
      </c>
      <c r="P12">
        <v>2.1925158893777654E-3</v>
      </c>
      <c r="Q12">
        <v>2.5793829678282306E-3</v>
      </c>
      <c r="R12">
        <v>2.1762339588296976E-3</v>
      </c>
      <c r="S12">
        <v>2.2129250441889768E-3</v>
      </c>
      <c r="T12">
        <v>2.2881413471379278E-3</v>
      </c>
      <c r="U12">
        <v>2.3403682294445556E-3</v>
      </c>
      <c r="V12">
        <v>2.2898311521254567E-3</v>
      </c>
      <c r="W12">
        <v>2.3585833900706572E-3</v>
      </c>
      <c r="X12">
        <v>4.7241228115075498E-5</v>
      </c>
      <c r="Y12">
        <v>-2.0086988198094965E-4</v>
      </c>
      <c r="Z12">
        <v>-3.7647882353267041E-4</v>
      </c>
      <c r="AA12">
        <v>1.4516339437435084E-3</v>
      </c>
      <c r="AB12">
        <v>1.5266320102613872E-3</v>
      </c>
      <c r="AC12">
        <v>1.6027372185143385E-3</v>
      </c>
      <c r="AD12">
        <v>-2.6312125145954296E-3</v>
      </c>
    </row>
    <row r="13" spans="1:30" x14ac:dyDescent="0.2">
      <c r="A13" t="s">
        <v>83</v>
      </c>
      <c r="B13">
        <v>2.2964925219421933E-2</v>
      </c>
      <c r="C13">
        <v>4.1800448809526069E-5</v>
      </c>
      <c r="D13">
        <v>-5.5626666950162225E-4</v>
      </c>
      <c r="E13">
        <v>1.4578307539850365E-5</v>
      </c>
      <c r="F13">
        <v>1.389461442970753E-4</v>
      </c>
      <c r="G13">
        <v>-1.1590208051227841E-4</v>
      </c>
      <c r="H13">
        <v>-6.3730793825371663E-5</v>
      </c>
      <c r="I13">
        <v>9.5451116172485563E-5</v>
      </c>
      <c r="J13">
        <v>1.7401513970650376E-4</v>
      </c>
      <c r="K13">
        <v>-6.4447389577978846E-5</v>
      </c>
      <c r="L13">
        <v>4.3439034558239234E-5</v>
      </c>
      <c r="M13">
        <v>2.1434566593223868E-3</v>
      </c>
      <c r="N13">
        <v>3.6742388500086219E-3</v>
      </c>
      <c r="O13">
        <v>2.0721950847414185E-3</v>
      </c>
      <c r="P13">
        <v>2.0731298718778576E-3</v>
      </c>
      <c r="Q13">
        <v>2.5268261378052531E-3</v>
      </c>
      <c r="R13">
        <v>2.0403370927986166E-3</v>
      </c>
      <c r="S13">
        <v>2.076663561672386E-3</v>
      </c>
      <c r="T13">
        <v>2.1265356927111056E-3</v>
      </c>
      <c r="U13">
        <v>2.1637010699199709E-3</v>
      </c>
      <c r="V13">
        <v>2.1111610988098265E-3</v>
      </c>
      <c r="W13">
        <v>2.1819385110576372E-3</v>
      </c>
      <c r="X13">
        <v>2.6687706693073862E-5</v>
      </c>
      <c r="Y13">
        <v>-2.0297102170684892E-4</v>
      </c>
      <c r="Z13">
        <v>-2.883031193912772E-4</v>
      </c>
      <c r="AA13">
        <v>5.2664655714358851E-4</v>
      </c>
      <c r="AB13">
        <v>1.3522020189952202E-3</v>
      </c>
      <c r="AC13">
        <v>1.6190327136851217E-3</v>
      </c>
      <c r="AD13">
        <v>2.4985011617441356E-3</v>
      </c>
    </row>
    <row r="14" spans="1:30" x14ac:dyDescent="0.2">
      <c r="A14" t="s">
        <v>84</v>
      </c>
      <c r="B14">
        <v>3.7815327186964259E-2</v>
      </c>
      <c r="C14">
        <v>3.2535278975680453E-5</v>
      </c>
      <c r="D14">
        <v>-6.6402617128837483E-4</v>
      </c>
      <c r="E14">
        <v>1.7576396017868532E-5</v>
      </c>
      <c r="F14">
        <v>1.377860898114154E-4</v>
      </c>
      <c r="G14">
        <v>-1.7615971003354808E-4</v>
      </c>
      <c r="H14">
        <v>-2.4545866750465609E-4</v>
      </c>
      <c r="I14">
        <v>-6.9903622962254222E-6</v>
      </c>
      <c r="J14">
        <v>2.5261418592487875E-4</v>
      </c>
      <c r="K14">
        <v>2.1924801813358102E-5</v>
      </c>
      <c r="L14">
        <v>8.7988770363271436E-5</v>
      </c>
      <c r="M14">
        <v>2.1620851374872527E-3</v>
      </c>
      <c r="N14">
        <v>2.0721950847414185E-3</v>
      </c>
      <c r="O14">
        <v>3.6725448782203799E-3</v>
      </c>
      <c r="P14">
        <v>2.069607593125326E-3</v>
      </c>
      <c r="Q14">
        <v>2.609920004262095E-3</v>
      </c>
      <c r="R14">
        <v>2.0352455214263329E-3</v>
      </c>
      <c r="S14">
        <v>2.0607450564146387E-3</v>
      </c>
      <c r="T14">
        <v>2.1027962421705619E-3</v>
      </c>
      <c r="U14">
        <v>2.1482100929050424E-3</v>
      </c>
      <c r="V14">
        <v>2.0819190463828804E-3</v>
      </c>
      <c r="W14">
        <v>2.1746043145164616E-3</v>
      </c>
      <c r="X14">
        <v>1.8315366612712712E-5</v>
      </c>
      <c r="Y14">
        <v>-2.2278186827634386E-4</v>
      </c>
      <c r="Z14">
        <v>-2.9560833672265534E-4</v>
      </c>
      <c r="AA14">
        <v>4.8048016744747281E-4</v>
      </c>
      <c r="AB14">
        <v>1.3172052499586338E-3</v>
      </c>
      <c r="AC14">
        <v>1.6310227742844605E-3</v>
      </c>
      <c r="AD14">
        <v>3.6756270250806605E-3</v>
      </c>
    </row>
    <row r="15" spans="1:30" x14ac:dyDescent="0.2">
      <c r="A15" t="s">
        <v>85</v>
      </c>
      <c r="B15">
        <v>4.7063542139195752E-2</v>
      </c>
      <c r="C15">
        <v>2.4765096317400559E-5</v>
      </c>
      <c r="D15">
        <v>-7.8639849310117686E-4</v>
      </c>
      <c r="E15">
        <v>2.0445694759220029E-5</v>
      </c>
      <c r="F15">
        <v>1.5538066531878142E-4</v>
      </c>
      <c r="G15">
        <v>-1.8406299545512775E-4</v>
      </c>
      <c r="H15">
        <v>-2.515489523161362E-4</v>
      </c>
      <c r="I15">
        <v>5.0935569198882038E-5</v>
      </c>
      <c r="J15">
        <v>2.1329695683910358E-4</v>
      </c>
      <c r="K15">
        <v>-1.1344620015073682E-4</v>
      </c>
      <c r="L15">
        <v>7.3254201312247282E-5</v>
      </c>
      <c r="M15">
        <v>2.1925158893777654E-3</v>
      </c>
      <c r="N15">
        <v>2.0731298718778576E-3</v>
      </c>
      <c r="O15">
        <v>2.069607593125326E-3</v>
      </c>
      <c r="P15">
        <v>4.0062336749223737E-3</v>
      </c>
      <c r="Q15">
        <v>2.6074115543166156E-3</v>
      </c>
      <c r="R15">
        <v>2.0371257803913669E-3</v>
      </c>
      <c r="S15">
        <v>2.0701816787806237E-3</v>
      </c>
      <c r="T15">
        <v>2.1157108558639112E-3</v>
      </c>
      <c r="U15">
        <v>2.164449073309105E-3</v>
      </c>
      <c r="V15">
        <v>2.0903811917866357E-3</v>
      </c>
      <c r="W15">
        <v>2.1878432572483043E-3</v>
      </c>
      <c r="X15">
        <v>2.4510533888603948E-5</v>
      </c>
      <c r="Y15">
        <v>-1.8392935401142585E-4</v>
      </c>
      <c r="Z15">
        <v>-2.4472410378516512E-4</v>
      </c>
      <c r="AA15">
        <v>5.8459812116298294E-4</v>
      </c>
      <c r="AB15">
        <v>1.2954183720342688E-3</v>
      </c>
      <c r="AC15">
        <v>1.587257122537199E-3</v>
      </c>
      <c r="AD15">
        <v>4.8357356110163979E-3</v>
      </c>
    </row>
    <row r="16" spans="1:30" x14ac:dyDescent="0.2">
      <c r="A16" t="s">
        <v>86</v>
      </c>
      <c r="B16">
        <v>1.1086071904261903E-2</v>
      </c>
      <c r="C16">
        <v>2.8722298748623748E-4</v>
      </c>
      <c r="D16">
        <v>-3.4195253867567721E-3</v>
      </c>
      <c r="E16">
        <v>8.5051662588562843E-5</v>
      </c>
      <c r="F16">
        <v>3.7287005911283071E-4</v>
      </c>
      <c r="G16">
        <v>-2.7700732922888126E-4</v>
      </c>
      <c r="H16">
        <v>-6.136653678377197E-4</v>
      </c>
      <c r="I16">
        <v>3.1001779549920741E-4</v>
      </c>
      <c r="J16">
        <v>5.405180855547545E-4</v>
      </c>
      <c r="K16">
        <v>-5.7417155401143227E-4</v>
      </c>
      <c r="L16">
        <v>-3.2040202098336523E-4</v>
      </c>
      <c r="M16">
        <v>2.5793829678282306E-3</v>
      </c>
      <c r="N16">
        <v>2.5268261378052531E-3</v>
      </c>
      <c r="O16">
        <v>2.609920004262095E-3</v>
      </c>
      <c r="P16">
        <v>2.6074115543166156E-3</v>
      </c>
      <c r="Q16">
        <v>7.4027429124495928E-3</v>
      </c>
      <c r="R16">
        <v>2.4029244220558181E-3</v>
      </c>
      <c r="S16">
        <v>2.4740506993807697E-3</v>
      </c>
      <c r="T16">
        <v>2.6165937372310084E-3</v>
      </c>
      <c r="U16">
        <v>2.7760974904569957E-3</v>
      </c>
      <c r="V16">
        <v>2.5499556806183959E-3</v>
      </c>
      <c r="W16">
        <v>2.8382070201390802E-3</v>
      </c>
      <c r="X16">
        <v>1.4004396988410712E-4</v>
      </c>
      <c r="Y16">
        <v>-7.1658328097808392E-4</v>
      </c>
      <c r="Z16">
        <v>-9.769113896556411E-4</v>
      </c>
      <c r="AA16">
        <v>3.6904705850035642E-4</v>
      </c>
      <c r="AB16">
        <v>1.5606947077438091E-3</v>
      </c>
      <c r="AC16">
        <v>5.9321049697216143E-3</v>
      </c>
      <c r="AD16">
        <v>2.8458489134742256E-2</v>
      </c>
    </row>
    <row r="17" spans="1:30" x14ac:dyDescent="0.2">
      <c r="A17" t="s">
        <v>87</v>
      </c>
      <c r="B17">
        <v>1.802840838158894E-2</v>
      </c>
      <c r="C17">
        <v>-1.1172609271827157E-7</v>
      </c>
      <c r="D17">
        <v>-4.1804159841461394E-4</v>
      </c>
      <c r="E17">
        <v>1.1121726042280256E-5</v>
      </c>
      <c r="F17">
        <v>2.3347655734599858E-4</v>
      </c>
      <c r="G17">
        <v>-1.7546188326540018E-4</v>
      </c>
      <c r="H17">
        <v>-2.2947174534304181E-4</v>
      </c>
      <c r="I17">
        <v>-3.4685519360753633E-6</v>
      </c>
      <c r="J17">
        <v>1.2314392022064148E-4</v>
      </c>
      <c r="K17">
        <v>-7.4974141041133854E-6</v>
      </c>
      <c r="L17">
        <v>-6.9031308071361604E-5</v>
      </c>
      <c r="M17">
        <v>2.1762339588296976E-3</v>
      </c>
      <c r="N17">
        <v>2.0403370927986166E-3</v>
      </c>
      <c r="O17">
        <v>2.0352455214263329E-3</v>
      </c>
      <c r="P17">
        <v>2.0371257803913669E-3</v>
      </c>
      <c r="Q17">
        <v>2.4029244220558181E-3</v>
      </c>
      <c r="R17">
        <v>3.8817762564306584E-3</v>
      </c>
      <c r="S17">
        <v>2.0466791604575271E-3</v>
      </c>
      <c r="T17">
        <v>2.0787821408163642E-3</v>
      </c>
      <c r="U17">
        <v>2.1250494997912023E-3</v>
      </c>
      <c r="V17">
        <v>2.0746008375344604E-3</v>
      </c>
      <c r="W17">
        <v>2.136179393734837E-3</v>
      </c>
      <c r="X17">
        <v>2.5458882233384613E-5</v>
      </c>
      <c r="Y17">
        <v>-2.2633414664911767E-4</v>
      </c>
      <c r="Z17">
        <v>-3.0326266400824346E-4</v>
      </c>
      <c r="AA17">
        <v>5.650549596380003E-4</v>
      </c>
      <c r="AB17">
        <v>1.2618327104729696E-3</v>
      </c>
      <c r="AC17">
        <v>1.286029343410872E-3</v>
      </c>
      <c r="AD17">
        <v>1.2599835549015233E-3</v>
      </c>
    </row>
    <row r="18" spans="1:30" x14ac:dyDescent="0.2">
      <c r="A18" t="s">
        <v>88</v>
      </c>
      <c r="B18">
        <v>9.4493818897984791E-2</v>
      </c>
      <c r="C18">
        <v>1.1985221543228737E-5</v>
      </c>
      <c r="D18">
        <v>-5.7259355999722192E-4</v>
      </c>
      <c r="E18">
        <v>1.4781329390182372E-5</v>
      </c>
      <c r="F18">
        <v>1.603969764431074E-4</v>
      </c>
      <c r="G18">
        <v>-1.0558531793131804E-4</v>
      </c>
      <c r="H18">
        <v>-1.1203363466963509E-4</v>
      </c>
      <c r="I18">
        <v>8.6846804898733725E-5</v>
      </c>
      <c r="J18">
        <v>1.7756323160314979E-4</v>
      </c>
      <c r="K18">
        <v>-7.3720507367445575E-5</v>
      </c>
      <c r="L18">
        <v>-6.0481050818080896E-6</v>
      </c>
      <c r="M18">
        <v>2.2129250441889768E-3</v>
      </c>
      <c r="N18">
        <v>2.076663561672386E-3</v>
      </c>
      <c r="O18">
        <v>2.0607450564146387E-3</v>
      </c>
      <c r="P18">
        <v>2.0701816787806237E-3</v>
      </c>
      <c r="Q18">
        <v>2.4740506993807697E-3</v>
      </c>
      <c r="R18">
        <v>2.0466791604575271E-3</v>
      </c>
      <c r="S18">
        <v>3.2671071944619951E-3</v>
      </c>
      <c r="T18">
        <v>2.1245956937690214E-3</v>
      </c>
      <c r="U18">
        <v>2.161017200306552E-3</v>
      </c>
      <c r="V18">
        <v>2.1176224844199195E-3</v>
      </c>
      <c r="W18">
        <v>2.1863404210707331E-3</v>
      </c>
      <c r="X18">
        <v>2.1588758419332826E-5</v>
      </c>
      <c r="Y18">
        <v>-2.0221778497417396E-4</v>
      </c>
      <c r="Z18">
        <v>-2.7094354429971755E-4</v>
      </c>
      <c r="AA18">
        <v>6.4563704523931003E-4</v>
      </c>
      <c r="AB18">
        <v>1.3499395267180506E-3</v>
      </c>
      <c r="AC18">
        <v>1.5037547888973948E-3</v>
      </c>
      <c r="AD18">
        <v>2.8317450529449784E-3</v>
      </c>
    </row>
    <row r="19" spans="1:30" x14ac:dyDescent="0.2">
      <c r="A19" t="s">
        <v>89</v>
      </c>
      <c r="B19">
        <v>-5.3733639674482414E-2</v>
      </c>
      <c r="C19">
        <v>3.5983685826644998E-5</v>
      </c>
      <c r="D19">
        <v>-5.2946466381201913E-4</v>
      </c>
      <c r="E19">
        <v>1.3831264349832548E-5</v>
      </c>
      <c r="F19">
        <v>1.7332177927546628E-4</v>
      </c>
      <c r="G19">
        <v>-6.4714557881555518E-5</v>
      </c>
      <c r="H19">
        <v>-7.5165106058647029E-5</v>
      </c>
      <c r="I19">
        <v>1.6521936280425396E-5</v>
      </c>
      <c r="J19">
        <v>1.2946508456710662E-4</v>
      </c>
      <c r="K19">
        <v>-1.9708813874063031E-4</v>
      </c>
      <c r="L19">
        <v>9.5202112191633114E-6</v>
      </c>
      <c r="M19">
        <v>2.2881413471379278E-3</v>
      </c>
      <c r="N19">
        <v>2.1265356927111056E-3</v>
      </c>
      <c r="O19">
        <v>2.1027962421705619E-3</v>
      </c>
      <c r="P19">
        <v>2.1157108558639112E-3</v>
      </c>
      <c r="Q19">
        <v>2.6165937372310084E-3</v>
      </c>
      <c r="R19">
        <v>2.0787821408163642E-3</v>
      </c>
      <c r="S19">
        <v>2.1245956937690214E-3</v>
      </c>
      <c r="T19">
        <v>3.9997413748138451E-3</v>
      </c>
      <c r="U19">
        <v>2.2101235541354346E-3</v>
      </c>
      <c r="V19">
        <v>2.1652812362713998E-3</v>
      </c>
      <c r="W19">
        <v>2.2307677862850386E-3</v>
      </c>
      <c r="X19">
        <v>2.4018649988836625E-5</v>
      </c>
      <c r="Y19">
        <v>-2.2052498377825151E-4</v>
      </c>
      <c r="Z19">
        <v>-3.0283649717154993E-4</v>
      </c>
      <c r="AA19">
        <v>6.8467603998315974E-4</v>
      </c>
      <c r="AB19">
        <v>1.4247236523973127E-3</v>
      </c>
      <c r="AC19">
        <v>1.6478728809098796E-3</v>
      </c>
      <c r="AD19">
        <v>2.2505341417322286E-3</v>
      </c>
    </row>
    <row r="20" spans="1:30" x14ac:dyDescent="0.2">
      <c r="A20" t="s">
        <v>90</v>
      </c>
      <c r="B20">
        <v>9.7566311500470307E-2</v>
      </c>
      <c r="C20">
        <v>4.101979981343317E-5</v>
      </c>
      <c r="D20">
        <v>-7.413027773302916E-4</v>
      </c>
      <c r="E20">
        <v>1.9043531674285355E-5</v>
      </c>
      <c r="F20">
        <v>1.8591294892749487E-4</v>
      </c>
      <c r="G20">
        <v>-1.9940524603677835E-4</v>
      </c>
      <c r="H20">
        <v>-2.8497768339570841E-4</v>
      </c>
      <c r="I20">
        <v>7.8963806441542759E-5</v>
      </c>
      <c r="J20">
        <v>1.621901365986974E-4</v>
      </c>
      <c r="K20">
        <v>-8.3924010726887563E-5</v>
      </c>
      <c r="L20">
        <v>7.0117057080988773E-5</v>
      </c>
      <c r="M20">
        <v>2.3403682294445556E-3</v>
      </c>
      <c r="N20">
        <v>2.1637010699199709E-3</v>
      </c>
      <c r="O20">
        <v>2.1482100929050424E-3</v>
      </c>
      <c r="P20">
        <v>2.164449073309105E-3</v>
      </c>
      <c r="Q20">
        <v>2.7760974904569957E-3</v>
      </c>
      <c r="R20">
        <v>2.1250494997912023E-3</v>
      </c>
      <c r="S20">
        <v>2.161017200306552E-3</v>
      </c>
      <c r="T20">
        <v>2.2101235541354346E-3</v>
      </c>
      <c r="U20">
        <v>4.6988827953982435E-3</v>
      </c>
      <c r="V20">
        <v>2.2051370672503305E-3</v>
      </c>
      <c r="W20">
        <v>2.3009024317302046E-3</v>
      </c>
      <c r="X20">
        <v>3.5750939666410141E-5</v>
      </c>
      <c r="Y20">
        <v>-2.5469108279837539E-4</v>
      </c>
      <c r="Z20">
        <v>-3.3823070783573069E-4</v>
      </c>
      <c r="AA20">
        <v>7.4886170880384025E-4</v>
      </c>
      <c r="AB20">
        <v>1.4994460813435079E-3</v>
      </c>
      <c r="AC20">
        <v>1.8972799931271022E-3</v>
      </c>
      <c r="AD20">
        <v>4.1912772594358862E-3</v>
      </c>
    </row>
    <row r="21" spans="1:30" x14ac:dyDescent="0.2">
      <c r="A21" t="s">
        <v>91</v>
      </c>
      <c r="B21">
        <v>6.1570104949663584E-2</v>
      </c>
      <c r="C21">
        <v>1.2075529687144611E-4</v>
      </c>
      <c r="D21">
        <v>-2.4903477094570352E-4</v>
      </c>
      <c r="E21">
        <v>6.4012248909686763E-6</v>
      </c>
      <c r="F21">
        <v>2.3194974451122482E-4</v>
      </c>
      <c r="G21">
        <v>2.5335738968033873E-5</v>
      </c>
      <c r="H21">
        <v>-3.5515302707538141E-6</v>
      </c>
      <c r="I21">
        <v>1.2505090391406212E-4</v>
      </c>
      <c r="J21">
        <v>8.5529316602111268E-5</v>
      </c>
      <c r="K21">
        <v>-9.3580766698447577E-5</v>
      </c>
      <c r="L21">
        <v>7.13598793981602E-6</v>
      </c>
      <c r="M21">
        <v>2.2898311521254567E-3</v>
      </c>
      <c r="N21">
        <v>2.1111610988098265E-3</v>
      </c>
      <c r="O21">
        <v>2.0819190463828804E-3</v>
      </c>
      <c r="P21">
        <v>2.0903811917866357E-3</v>
      </c>
      <c r="Q21">
        <v>2.5499556806183959E-3</v>
      </c>
      <c r="R21">
        <v>2.0746008375344604E-3</v>
      </c>
      <c r="S21">
        <v>2.1176224844199195E-3</v>
      </c>
      <c r="T21">
        <v>2.1652812362713998E-3</v>
      </c>
      <c r="U21">
        <v>2.2051370672503305E-3</v>
      </c>
      <c r="V21">
        <v>3.894357599101408E-3</v>
      </c>
      <c r="W21">
        <v>2.2231807590924737E-3</v>
      </c>
      <c r="X21">
        <v>3.4709853648702896E-5</v>
      </c>
      <c r="Y21">
        <v>-2.5267861788543715E-4</v>
      </c>
      <c r="Z21">
        <v>-3.2519361140417478E-4</v>
      </c>
      <c r="AA21">
        <v>7.1312418234551161E-4</v>
      </c>
      <c r="AB21">
        <v>1.5395175653266503E-3</v>
      </c>
      <c r="AC21">
        <v>1.5825649156734692E-3</v>
      </c>
      <c r="AD21">
        <v>-6.9505370204533262E-4</v>
      </c>
    </row>
    <row r="22" spans="1:30" x14ac:dyDescent="0.2">
      <c r="A22" t="s">
        <v>92</v>
      </c>
      <c r="B22">
        <v>0.20146727253882282</v>
      </c>
      <c r="C22">
        <v>7.0332476489904774E-5</v>
      </c>
      <c r="D22">
        <v>-9.016160009233283E-4</v>
      </c>
      <c r="E22">
        <v>2.2677044974052883E-5</v>
      </c>
      <c r="F22">
        <v>1.3036369904812376E-4</v>
      </c>
      <c r="G22">
        <v>-1.4476789003550327E-4</v>
      </c>
      <c r="H22">
        <v>-3.4335487985991098E-4</v>
      </c>
      <c r="I22">
        <v>1.1190051494256673E-4</v>
      </c>
      <c r="J22">
        <v>2.2375137073486068E-4</v>
      </c>
      <c r="K22">
        <v>-8.1171890783941943E-5</v>
      </c>
      <c r="L22">
        <v>7.2547013291307354E-5</v>
      </c>
      <c r="M22">
        <v>2.3585833900706572E-3</v>
      </c>
      <c r="N22">
        <v>2.1819385110576372E-3</v>
      </c>
      <c r="O22">
        <v>2.1746043145164616E-3</v>
      </c>
      <c r="P22">
        <v>2.1878432572483043E-3</v>
      </c>
      <c r="Q22">
        <v>2.8382070201390802E-3</v>
      </c>
      <c r="R22">
        <v>2.136179393734837E-3</v>
      </c>
      <c r="S22">
        <v>2.1863404210707331E-3</v>
      </c>
      <c r="T22">
        <v>2.2307677862850386E-3</v>
      </c>
      <c r="U22">
        <v>2.3009024317302046E-3</v>
      </c>
      <c r="V22">
        <v>2.2231807590924737E-3</v>
      </c>
      <c r="W22">
        <v>4.2750099138229433E-3</v>
      </c>
      <c r="X22">
        <v>2.3625536530509303E-5</v>
      </c>
      <c r="Y22">
        <v>-2.3995424917720113E-4</v>
      </c>
      <c r="Z22">
        <v>-3.5250407061740647E-4</v>
      </c>
      <c r="AA22">
        <v>8.4713757029676519E-4</v>
      </c>
      <c r="AB22">
        <v>1.5397751683173581E-3</v>
      </c>
      <c r="AC22">
        <v>2.0574199406427048E-3</v>
      </c>
      <c r="AD22">
        <v>6.0548254903044912E-3</v>
      </c>
    </row>
    <row r="23" spans="1:30" x14ac:dyDescent="0.2">
      <c r="A23" t="s">
        <v>132</v>
      </c>
      <c r="B23">
        <v>-1.893252414199105E-2</v>
      </c>
      <c r="C23">
        <v>1.0523831045527174E-5</v>
      </c>
      <c r="D23">
        <v>-1.1664901144921649E-4</v>
      </c>
      <c r="E23">
        <v>2.9146758317668718E-6</v>
      </c>
      <c r="F23">
        <v>3.3849538061186298E-5</v>
      </c>
      <c r="G23">
        <v>7.6651063498839388E-6</v>
      </c>
      <c r="H23">
        <v>9.5205732427708009E-6</v>
      </c>
      <c r="I23">
        <v>3.0927037115809812E-5</v>
      </c>
      <c r="J23">
        <v>2.3310338149266745E-5</v>
      </c>
      <c r="K23">
        <v>-3.4886106032704783E-6</v>
      </c>
      <c r="L23">
        <v>-8.0013061899146705E-6</v>
      </c>
      <c r="M23">
        <v>4.7241228115075498E-5</v>
      </c>
      <c r="N23">
        <v>2.6687706693073862E-5</v>
      </c>
      <c r="O23">
        <v>1.8315366612712712E-5</v>
      </c>
      <c r="P23">
        <v>2.4510533888603948E-5</v>
      </c>
      <c r="Q23">
        <v>1.4004396988410712E-4</v>
      </c>
      <c r="R23">
        <v>2.5458882233384613E-5</v>
      </c>
      <c r="S23">
        <v>2.1588758419332826E-5</v>
      </c>
      <c r="T23">
        <v>2.4018649988836625E-5</v>
      </c>
      <c r="U23">
        <v>3.5750939666410141E-5</v>
      </c>
      <c r="V23">
        <v>3.4709853648702896E-5</v>
      </c>
      <c r="W23">
        <v>2.3625536530509303E-5</v>
      </c>
      <c r="X23">
        <v>2.3924290856225006E-5</v>
      </c>
      <c r="Y23">
        <v>-1.1030349017391168E-4</v>
      </c>
      <c r="Z23">
        <v>-1.3480223028127533E-4</v>
      </c>
      <c r="AA23">
        <v>1.167850122489261E-5</v>
      </c>
      <c r="AB23">
        <v>2.1267954612788406E-5</v>
      </c>
      <c r="AC23">
        <v>2.2069478366849187E-4</v>
      </c>
      <c r="AD23">
        <v>6.9194656402845906E-4</v>
      </c>
    </row>
    <row r="24" spans="1:30" x14ac:dyDescent="0.2">
      <c r="A24" t="s">
        <v>93</v>
      </c>
      <c r="B24">
        <v>4.7513925165807384E-3</v>
      </c>
      <c r="C24">
        <v>-1.7178989814278193E-5</v>
      </c>
      <c r="D24">
        <v>6.2169815174991164E-4</v>
      </c>
      <c r="E24">
        <v>-1.5684506930409292E-5</v>
      </c>
      <c r="F24">
        <v>-7.1747631212765232E-5</v>
      </c>
      <c r="G24">
        <v>3.4480917947554701E-5</v>
      </c>
      <c r="H24">
        <v>7.4593468318766114E-5</v>
      </c>
      <c r="I24">
        <v>-1.1683992310654182E-4</v>
      </c>
      <c r="J24">
        <v>-1.2998299185991609E-4</v>
      </c>
      <c r="K24">
        <v>-2.5904905366143371E-5</v>
      </c>
      <c r="L24">
        <v>5.0252998068945828E-5</v>
      </c>
      <c r="M24">
        <v>-2.0086988198094965E-4</v>
      </c>
      <c r="N24">
        <v>-2.0297102170684892E-4</v>
      </c>
      <c r="O24">
        <v>-2.2278186827634386E-4</v>
      </c>
      <c r="P24">
        <v>-1.8392935401142585E-4</v>
      </c>
      <c r="Q24">
        <v>-7.1658328097808392E-4</v>
      </c>
      <c r="R24">
        <v>-2.2633414664911767E-4</v>
      </c>
      <c r="S24">
        <v>-2.0221778497417396E-4</v>
      </c>
      <c r="T24">
        <v>-2.2052498377825151E-4</v>
      </c>
      <c r="U24">
        <v>-2.5469108279837539E-4</v>
      </c>
      <c r="V24">
        <v>-2.5267861788543715E-4</v>
      </c>
      <c r="W24">
        <v>-2.3995424917720113E-4</v>
      </c>
      <c r="X24">
        <v>-1.1030349017391168E-4</v>
      </c>
      <c r="Y24">
        <v>3.0684609366023723E-3</v>
      </c>
      <c r="Z24">
        <v>7.8270534587733022E-4</v>
      </c>
      <c r="AA24">
        <v>-2.0717867218388611E-4</v>
      </c>
      <c r="AB24">
        <v>-1.247742203240591E-4</v>
      </c>
      <c r="AC24">
        <v>-1.1794692417311072E-3</v>
      </c>
      <c r="AD24">
        <v>-4.1486304160142026E-3</v>
      </c>
    </row>
    <row r="25" spans="1:30" x14ac:dyDescent="0.2">
      <c r="A25" t="s">
        <v>94</v>
      </c>
      <c r="B25">
        <v>0.11202391699030222</v>
      </c>
      <c r="C25">
        <v>-1.6892620356245337E-5</v>
      </c>
      <c r="D25">
        <v>8.3396681225842567E-4</v>
      </c>
      <c r="E25">
        <v>-2.0873505732242896E-5</v>
      </c>
      <c r="F25">
        <v>-9.5194835081717694E-5</v>
      </c>
      <c r="G25">
        <v>8.1103168155945886E-5</v>
      </c>
      <c r="H25">
        <v>1.1560221715485467E-4</v>
      </c>
      <c r="I25">
        <v>-1.208335870929245E-4</v>
      </c>
      <c r="J25">
        <v>-9.8802579107300573E-5</v>
      </c>
      <c r="K25">
        <v>-1.1188518787947146E-5</v>
      </c>
      <c r="L25">
        <v>8.3623727144837082E-5</v>
      </c>
      <c r="M25">
        <v>-3.7647882353267041E-4</v>
      </c>
      <c r="N25">
        <v>-2.883031193912772E-4</v>
      </c>
      <c r="O25">
        <v>-2.9560833672265534E-4</v>
      </c>
      <c r="P25">
        <v>-2.4472410378516512E-4</v>
      </c>
      <c r="Q25">
        <v>-9.769113896556411E-4</v>
      </c>
      <c r="R25">
        <v>-3.0326266400824346E-4</v>
      </c>
      <c r="S25">
        <v>-2.7094354429971755E-4</v>
      </c>
      <c r="T25">
        <v>-3.0283649717154993E-4</v>
      </c>
      <c r="U25">
        <v>-3.3823070783573069E-4</v>
      </c>
      <c r="V25">
        <v>-3.2519361140417478E-4</v>
      </c>
      <c r="W25">
        <v>-3.5250407061740647E-4</v>
      </c>
      <c r="X25">
        <v>-1.3480223028127533E-4</v>
      </c>
      <c r="Y25">
        <v>7.8270534587733022E-4</v>
      </c>
      <c r="Z25">
        <v>4.1287372522507406E-3</v>
      </c>
      <c r="AA25">
        <v>-2.6770643640790611E-4</v>
      </c>
      <c r="AB25">
        <v>-1.4435429475214106E-4</v>
      </c>
      <c r="AC25">
        <v>-1.3975336304352147E-3</v>
      </c>
      <c r="AD25">
        <v>-5.8327485568764915E-3</v>
      </c>
    </row>
    <row r="26" spans="1:30" x14ac:dyDescent="0.2">
      <c r="A26" t="s">
        <v>95</v>
      </c>
      <c r="B26">
        <v>0.32813470648225168</v>
      </c>
      <c r="C26">
        <v>-4.8694360684324142E-5</v>
      </c>
      <c r="D26">
        <v>2.193212332953871E-4</v>
      </c>
      <c r="E26">
        <v>-4.5863203436679874E-6</v>
      </c>
      <c r="F26">
        <v>1.8124216979493249E-5</v>
      </c>
      <c r="G26">
        <v>-3.9984435256550273E-5</v>
      </c>
      <c r="H26">
        <v>-1.7922662571661448E-4</v>
      </c>
      <c r="I26">
        <v>1.9209076984278984E-4</v>
      </c>
      <c r="J26">
        <v>2.2043579596115045E-4</v>
      </c>
      <c r="K26">
        <v>2.8762537659186805E-4</v>
      </c>
      <c r="L26">
        <v>3.5553502780588122E-4</v>
      </c>
      <c r="M26">
        <v>1.4516339437435084E-3</v>
      </c>
      <c r="N26">
        <v>5.2664655714358851E-4</v>
      </c>
      <c r="O26">
        <v>4.8048016744747281E-4</v>
      </c>
      <c r="P26">
        <v>5.8459812116298294E-4</v>
      </c>
      <c r="Q26">
        <v>3.6904705850035642E-4</v>
      </c>
      <c r="R26">
        <v>5.650549596380003E-4</v>
      </c>
      <c r="S26">
        <v>6.4563704523931003E-4</v>
      </c>
      <c r="T26">
        <v>6.8467603998315974E-4</v>
      </c>
      <c r="U26">
        <v>7.4886170880384025E-4</v>
      </c>
      <c r="V26">
        <v>7.1312418234551161E-4</v>
      </c>
      <c r="W26">
        <v>8.4713757029676519E-4</v>
      </c>
      <c r="X26">
        <v>1.167850122489261E-5</v>
      </c>
      <c r="Y26">
        <v>-2.0717867218388611E-4</v>
      </c>
      <c r="Z26">
        <v>-2.6770643640790611E-4</v>
      </c>
      <c r="AA26">
        <v>2.9305490815648228E-3</v>
      </c>
      <c r="AB26">
        <v>6.0603263534406973E-4</v>
      </c>
      <c r="AC26">
        <v>2.4933848744375896E-4</v>
      </c>
      <c r="AD26">
        <v>-3.578036488090134E-3</v>
      </c>
    </row>
    <row r="27" spans="1:30" x14ac:dyDescent="0.2">
      <c r="A27" t="s">
        <v>96</v>
      </c>
      <c r="B27">
        <v>0.17154243828609281</v>
      </c>
      <c r="C27">
        <v>7.4015816498435271E-5</v>
      </c>
      <c r="D27">
        <v>1.3127970346080153E-4</v>
      </c>
      <c r="E27">
        <v>-3.9738079142332327E-6</v>
      </c>
      <c r="F27">
        <v>4.0182337228844746E-5</v>
      </c>
      <c r="G27">
        <v>1.4124012295460174E-4</v>
      </c>
      <c r="H27">
        <v>4.1752556163291137E-5</v>
      </c>
      <c r="I27">
        <v>1.1836882051827744E-4</v>
      </c>
      <c r="J27">
        <v>7.1117010770102573E-5</v>
      </c>
      <c r="K27">
        <v>5.3221582430673132E-5</v>
      </c>
      <c r="L27">
        <v>2.1007066060941583E-4</v>
      </c>
      <c r="M27">
        <v>1.5266320102613872E-3</v>
      </c>
      <c r="N27">
        <v>1.3522020189952202E-3</v>
      </c>
      <c r="O27">
        <v>1.3172052499586338E-3</v>
      </c>
      <c r="P27">
        <v>1.2954183720342688E-3</v>
      </c>
      <c r="Q27">
        <v>1.5606947077438091E-3</v>
      </c>
      <c r="R27">
        <v>1.2618327104729696E-3</v>
      </c>
      <c r="S27">
        <v>1.3499395267180506E-3</v>
      </c>
      <c r="T27">
        <v>1.4247236523973127E-3</v>
      </c>
      <c r="U27">
        <v>1.4994460813435079E-3</v>
      </c>
      <c r="V27">
        <v>1.5395175653266503E-3</v>
      </c>
      <c r="W27">
        <v>1.5397751683173581E-3</v>
      </c>
      <c r="X27">
        <v>2.1267954612788406E-5</v>
      </c>
      <c r="Y27">
        <v>-1.247742203240591E-4</v>
      </c>
      <c r="Z27">
        <v>-1.4435429475214106E-4</v>
      </c>
      <c r="AA27">
        <v>6.0603263534406973E-4</v>
      </c>
      <c r="AB27">
        <v>5.0106797259787022E-3</v>
      </c>
      <c r="AC27">
        <v>8.8843048496939792E-4</v>
      </c>
      <c r="AD27">
        <v>-3.1188072901803081E-3</v>
      </c>
    </row>
    <row r="28" spans="1:30" x14ac:dyDescent="0.2">
      <c r="A28" t="s">
        <v>97</v>
      </c>
      <c r="B28">
        <v>-7.240395341279221E-2</v>
      </c>
      <c r="C28">
        <v>4.5068847409869333E-4</v>
      </c>
      <c r="D28">
        <v>-4.8710971082767118E-3</v>
      </c>
      <c r="E28">
        <v>1.2000659517936866E-4</v>
      </c>
      <c r="F28">
        <v>3.8860826710647943E-4</v>
      </c>
      <c r="G28">
        <v>-1.0772719296425672E-4</v>
      </c>
      <c r="H28">
        <v>-7.2096375656941977E-4</v>
      </c>
      <c r="I28">
        <v>5.4508383753888723E-4</v>
      </c>
      <c r="J28">
        <v>7.7676453122394601E-4</v>
      </c>
      <c r="K28">
        <v>-8.0661434856450082E-4</v>
      </c>
      <c r="L28">
        <v>-5.8573292207390187E-4</v>
      </c>
      <c r="M28">
        <v>1.6027372185143385E-3</v>
      </c>
      <c r="N28">
        <v>1.6190327136851217E-3</v>
      </c>
      <c r="O28">
        <v>1.6310227742844605E-3</v>
      </c>
      <c r="P28">
        <v>1.587257122537199E-3</v>
      </c>
      <c r="Q28">
        <v>5.9321049697216143E-3</v>
      </c>
      <c r="R28">
        <v>1.286029343410872E-3</v>
      </c>
      <c r="S28">
        <v>1.5037547888973948E-3</v>
      </c>
      <c r="T28">
        <v>1.6478728809098796E-3</v>
      </c>
      <c r="U28">
        <v>1.8972799931271022E-3</v>
      </c>
      <c r="V28">
        <v>1.5825649156734692E-3</v>
      </c>
      <c r="W28">
        <v>2.0574199406427048E-3</v>
      </c>
      <c r="X28">
        <v>2.2069478366849187E-4</v>
      </c>
      <c r="Y28">
        <v>-1.1794692417311072E-3</v>
      </c>
      <c r="Z28">
        <v>-1.3975336304352147E-3</v>
      </c>
      <c r="AA28">
        <v>2.4933848744375896E-4</v>
      </c>
      <c r="AB28">
        <v>8.8843048496939792E-4</v>
      </c>
      <c r="AC28">
        <v>1.3074646506828184E-2</v>
      </c>
      <c r="AD28">
        <v>4.2469196471771609E-2</v>
      </c>
    </row>
    <row r="29" spans="1:30" x14ac:dyDescent="0.2">
      <c r="A29" t="s">
        <v>32</v>
      </c>
      <c r="B29">
        <v>14.504607977326732</v>
      </c>
      <c r="C29">
        <v>-2.2265493552629714E-3</v>
      </c>
      <c r="D29">
        <v>-8.0709593916744371E-2</v>
      </c>
      <c r="E29">
        <v>1.9747701773454706E-3</v>
      </c>
      <c r="F29">
        <v>-7.977393718193275E-5</v>
      </c>
      <c r="G29">
        <v>-1.0545753980264239E-2</v>
      </c>
      <c r="H29">
        <v>-1.339332173204736E-2</v>
      </c>
      <c r="I29">
        <v>-6.8764092453153097E-3</v>
      </c>
      <c r="J29">
        <v>-1.822581235850218E-4</v>
      </c>
      <c r="K29">
        <v>-1.7054686771468514E-2</v>
      </c>
      <c r="L29">
        <v>-1.4262865410669956E-2</v>
      </c>
      <c r="M29">
        <v>-2.6312125145954296E-3</v>
      </c>
      <c r="N29">
        <v>2.4985011617441356E-3</v>
      </c>
      <c r="O29">
        <v>3.6756270250806605E-3</v>
      </c>
      <c r="P29">
        <v>4.8357356110163979E-3</v>
      </c>
      <c r="Q29">
        <v>2.8458489134742256E-2</v>
      </c>
      <c r="R29">
        <v>1.2599835549015233E-3</v>
      </c>
      <c r="S29">
        <v>2.8317450529449784E-3</v>
      </c>
      <c r="T29">
        <v>2.2505341417322286E-3</v>
      </c>
      <c r="U29">
        <v>4.1912772594358862E-3</v>
      </c>
      <c r="V29">
        <v>-6.9505370204533262E-4</v>
      </c>
      <c r="W29">
        <v>6.0548254903044912E-3</v>
      </c>
      <c r="X29">
        <v>6.9194656402845906E-4</v>
      </c>
      <c r="Y29">
        <v>-4.1486304160142026E-3</v>
      </c>
      <c r="Z29">
        <v>-5.8327485568764915E-3</v>
      </c>
      <c r="AA29">
        <v>-3.578036488090134E-3</v>
      </c>
      <c r="AB29">
        <v>-3.1188072901803081E-3</v>
      </c>
      <c r="AC29">
        <v>4.2469196471771609E-2</v>
      </c>
      <c r="AD29">
        <v>0.80761444291958817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0"/>
  <sheetViews>
    <sheetView workbookViewId="0">
      <selection activeCell="A26" sqref="A26"/>
    </sheetView>
  </sheetViews>
  <sheetFormatPr baseColWidth="10" defaultColWidth="8.83203125" defaultRowHeight="15" x14ac:dyDescent="0.2"/>
  <sheetData>
    <row r="1" spans="1:31" x14ac:dyDescent="0.2">
      <c r="A1" t="s">
        <v>17</v>
      </c>
      <c r="B1" t="s">
        <v>18</v>
      </c>
      <c r="C1" t="s">
        <v>72</v>
      </c>
      <c r="D1" t="s">
        <v>73</v>
      </c>
      <c r="E1" t="s">
        <v>74</v>
      </c>
      <c r="F1" t="s">
        <v>98</v>
      </c>
      <c r="G1" t="s">
        <v>99</v>
      </c>
      <c r="H1" t="s">
        <v>100</v>
      </c>
      <c r="I1" t="s">
        <v>76</v>
      </c>
      <c r="J1" t="s">
        <v>77</v>
      </c>
      <c r="K1" t="s">
        <v>101</v>
      </c>
      <c r="L1" t="s">
        <v>102</v>
      </c>
      <c r="M1" t="s">
        <v>103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132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32</v>
      </c>
    </row>
    <row r="2" spans="1:31" x14ac:dyDescent="0.2">
      <c r="A2" t="s">
        <v>72</v>
      </c>
      <c r="B2">
        <v>-0.18352329027448377</v>
      </c>
      <c r="C2">
        <v>8.2011817917326867E-4</v>
      </c>
      <c r="D2">
        <v>2.3175165627492062E-5</v>
      </c>
      <c r="E2">
        <v>-2.6689305258580527E-7</v>
      </c>
      <c r="F2">
        <v>-1.7746121008221322E-4</v>
      </c>
      <c r="G2">
        <v>5.4401217540831726E-5</v>
      </c>
      <c r="H2">
        <v>6.6734979096350397E-6</v>
      </c>
      <c r="I2">
        <v>2.8575236049560002E-6</v>
      </c>
      <c r="J2">
        <v>1.5589916657026965E-4</v>
      </c>
      <c r="K2">
        <v>-1.2938632257957953E-4</v>
      </c>
      <c r="L2">
        <v>6.7894424293551693E-5</v>
      </c>
      <c r="M2">
        <v>-1.7525661209723793E-5</v>
      </c>
      <c r="N2">
        <v>9.7832084487310331E-4</v>
      </c>
      <c r="O2">
        <v>1.216685789786831E-5</v>
      </c>
      <c r="P2">
        <v>6.7025936288024301E-5</v>
      </c>
      <c r="Q2">
        <v>3.7766337735720328E-5</v>
      </c>
      <c r="R2">
        <v>9.3798557796369151E-5</v>
      </c>
      <c r="S2">
        <v>1.1995179300227329E-4</v>
      </c>
      <c r="T2">
        <v>1.85143576070461E-5</v>
      </c>
      <c r="U2">
        <v>3.8628074414085567E-5</v>
      </c>
      <c r="V2">
        <v>5.1904105927145076E-5</v>
      </c>
      <c r="W2">
        <v>1.2448005771207552E-4</v>
      </c>
      <c r="X2">
        <v>-1.2836201470697991E-6</v>
      </c>
      <c r="Y2">
        <v>1.2632098917311364E-5</v>
      </c>
      <c r="Z2">
        <v>-3.1810920168668728E-6</v>
      </c>
      <c r="AA2">
        <v>-3.4472130257756802E-5</v>
      </c>
      <c r="AB2">
        <v>6.04775176181126E-4</v>
      </c>
      <c r="AC2">
        <v>8.0695802919589769E-5</v>
      </c>
      <c r="AD2">
        <v>-2.1041596288473205E-5</v>
      </c>
      <c r="AE2">
        <v>-1.0394015171186336E-3</v>
      </c>
    </row>
    <row r="3" spans="1:31" x14ac:dyDescent="0.2">
      <c r="A3" t="s">
        <v>73</v>
      </c>
      <c r="B3">
        <v>-0.19078019432177384</v>
      </c>
      <c r="C3">
        <v>2.3175165627492062E-5</v>
      </c>
      <c r="D3">
        <v>4.7529226970175332E-5</v>
      </c>
      <c r="E3">
        <v>-5.3688774190765424E-7</v>
      </c>
      <c r="F3">
        <v>-6.3756375040101843E-5</v>
      </c>
      <c r="G3">
        <v>-1.8335122896127729E-5</v>
      </c>
      <c r="H3">
        <v>-4.4894216019213335E-6</v>
      </c>
      <c r="I3">
        <v>2.0696412306048088E-5</v>
      </c>
      <c r="J3">
        <v>9.7410269573692393E-6</v>
      </c>
      <c r="K3">
        <v>4.1874037085722472E-5</v>
      </c>
      <c r="L3">
        <v>-2.5672001917459105E-5</v>
      </c>
      <c r="M3">
        <v>4.932296628760201E-5</v>
      </c>
      <c r="N3">
        <v>-1.4429372669475925E-4</v>
      </c>
      <c r="O3">
        <v>-5.3057213903251249E-6</v>
      </c>
      <c r="P3">
        <v>-1.0628720046719563E-5</v>
      </c>
      <c r="Q3">
        <v>-2.2119597892756175E-5</v>
      </c>
      <c r="R3">
        <v>-1.4951665386641984E-5</v>
      </c>
      <c r="S3">
        <v>-4.7538571277974217E-6</v>
      </c>
      <c r="T3">
        <v>-9.132820121016095E-6</v>
      </c>
      <c r="U3">
        <v>-1.4082897465940653E-7</v>
      </c>
      <c r="V3">
        <v>-4.7302661164484613E-5</v>
      </c>
      <c r="W3">
        <v>-2.2908347989690386E-5</v>
      </c>
      <c r="X3">
        <v>-4.3565317670638838E-5</v>
      </c>
      <c r="Y3">
        <v>-2.7705035860279556E-6</v>
      </c>
      <c r="Z3">
        <v>3.0542130706676216E-5</v>
      </c>
      <c r="AA3">
        <v>2.7402656989075657E-5</v>
      </c>
      <c r="AB3">
        <v>-1.1854956378222427E-4</v>
      </c>
      <c r="AC3">
        <v>-5.6588286813236729E-5</v>
      </c>
      <c r="AD3">
        <v>-1.1926405670069362E-5</v>
      </c>
      <c r="AE3">
        <v>-7.7764391810534106E-4</v>
      </c>
    </row>
    <row r="4" spans="1:31" x14ac:dyDescent="0.2">
      <c r="A4" t="s">
        <v>74</v>
      </c>
      <c r="B4">
        <v>1.824660050543544E-3</v>
      </c>
      <c r="C4">
        <v>-2.6689305258580527E-7</v>
      </c>
      <c r="D4">
        <v>-5.3688774190765424E-7</v>
      </c>
      <c r="E4">
        <v>6.2162467476166967E-9</v>
      </c>
      <c r="F4">
        <v>6.0299421432687241E-7</v>
      </c>
      <c r="G4">
        <v>1.9863198339192571E-7</v>
      </c>
      <c r="H4">
        <v>-8.2770840722077346E-9</v>
      </c>
      <c r="I4">
        <v>-2.4540956404983813E-7</v>
      </c>
      <c r="J4">
        <v>-2.7594523017025207E-7</v>
      </c>
      <c r="K4">
        <v>-4.3121747033450395E-7</v>
      </c>
      <c r="L4">
        <v>2.9618255910231709E-7</v>
      </c>
      <c r="M4">
        <v>-5.4028739853021707E-7</v>
      </c>
      <c r="N4">
        <v>1.4789624238855089E-6</v>
      </c>
      <c r="O4">
        <v>5.175587876443994E-8</v>
      </c>
      <c r="P4">
        <v>1.5985484296610125E-7</v>
      </c>
      <c r="Q4">
        <v>2.6410558689166182E-7</v>
      </c>
      <c r="R4">
        <v>1.6923797609704447E-7</v>
      </c>
      <c r="S4">
        <v>5.1621890817646683E-8</v>
      </c>
      <c r="T4">
        <v>1.0958932693839499E-7</v>
      </c>
      <c r="U4">
        <v>5.5238431194394574E-8</v>
      </c>
      <c r="V4">
        <v>6.5455102643334911E-7</v>
      </c>
      <c r="W4">
        <v>2.1667575439639099E-7</v>
      </c>
      <c r="X4">
        <v>4.9662054030510636E-7</v>
      </c>
      <c r="Y4">
        <v>1.7684336779126305E-8</v>
      </c>
      <c r="Z4">
        <v>-3.0624105299511503E-7</v>
      </c>
      <c r="AA4">
        <v>-3.0427678367440758E-7</v>
      </c>
      <c r="AB4">
        <v>1.2692888125915495E-6</v>
      </c>
      <c r="AC4">
        <v>6.2122068248526299E-7</v>
      </c>
      <c r="AD4">
        <v>2.0044262487310574E-7</v>
      </c>
      <c r="AE4">
        <v>8.9158206832680461E-6</v>
      </c>
    </row>
    <row r="5" spans="1:31" x14ac:dyDescent="0.2">
      <c r="A5" t="s">
        <v>98</v>
      </c>
      <c r="B5">
        <v>-0.1819837826819462</v>
      </c>
      <c r="C5">
        <v>-1.7746121008221322E-4</v>
      </c>
      <c r="D5">
        <v>-6.3756375040101843E-5</v>
      </c>
      <c r="E5">
        <v>6.0299421432687241E-7</v>
      </c>
      <c r="F5">
        <v>1.133753690216786E-3</v>
      </c>
      <c r="G5">
        <v>2.1035298830941767E-5</v>
      </c>
      <c r="H5">
        <v>-2.5406039889122747E-5</v>
      </c>
      <c r="I5">
        <v>-2.1202619947748632E-5</v>
      </c>
      <c r="J5">
        <v>-2.731115521903383E-5</v>
      </c>
      <c r="K5">
        <v>2.0370341386577052E-4</v>
      </c>
      <c r="L5">
        <v>-6.2699390961519551E-5</v>
      </c>
      <c r="M5">
        <v>-1.893900415090127E-4</v>
      </c>
      <c r="N5">
        <v>-5.5918112036430464E-4</v>
      </c>
      <c r="O5">
        <v>-9.5692527918307978E-5</v>
      </c>
      <c r="P5">
        <v>-2.3273964828312839E-4</v>
      </c>
      <c r="Q5">
        <v>-1.641193616534075E-4</v>
      </c>
      <c r="R5">
        <v>-8.9319339848745326E-5</v>
      </c>
      <c r="S5">
        <v>-1.6652864381594447E-4</v>
      </c>
      <c r="T5">
        <v>-3.8179486223193057E-5</v>
      </c>
      <c r="U5">
        <v>-1.5288142446867072E-4</v>
      </c>
      <c r="V5">
        <v>-7.5708030366816227E-5</v>
      </c>
      <c r="W5">
        <v>-1.1940016530966608E-4</v>
      </c>
      <c r="X5">
        <v>6.298088631925201E-5</v>
      </c>
      <c r="Y5">
        <v>1.0338857773227049E-5</v>
      </c>
      <c r="Z5">
        <v>-9.3587457143856986E-5</v>
      </c>
      <c r="AA5">
        <v>-9.326074418688937E-5</v>
      </c>
      <c r="AB5">
        <v>-4.7773059988050464E-4</v>
      </c>
      <c r="AC5">
        <v>1.6859177822845732E-5</v>
      </c>
      <c r="AD5">
        <v>-4.8213671506052444E-5</v>
      </c>
      <c r="AE5">
        <v>9.920297653683019E-4</v>
      </c>
    </row>
    <row r="6" spans="1:31" x14ac:dyDescent="0.2">
      <c r="A6" t="s">
        <v>99</v>
      </c>
      <c r="B6">
        <v>5.5823342684173105E-2</v>
      </c>
      <c r="C6">
        <v>5.4401217540831726E-5</v>
      </c>
      <c r="D6">
        <v>-1.8335122896127729E-5</v>
      </c>
      <c r="E6">
        <v>1.9863198339192571E-7</v>
      </c>
      <c r="F6">
        <v>2.1035298830941767E-5</v>
      </c>
      <c r="G6">
        <v>1.0945876181596397E-3</v>
      </c>
      <c r="H6">
        <v>2.5491288950673356E-4</v>
      </c>
      <c r="I6">
        <v>2.7448521470631391E-4</v>
      </c>
      <c r="J6">
        <v>2.4033438301119712E-4</v>
      </c>
      <c r="K6">
        <v>1.9408270141393403E-4</v>
      </c>
      <c r="L6">
        <v>5.3892756639292377E-5</v>
      </c>
      <c r="M6">
        <v>-9.3206975497226482E-5</v>
      </c>
      <c r="N6">
        <v>-3.803872649505006E-4</v>
      </c>
      <c r="O6">
        <v>1.2846782710246616E-4</v>
      </c>
      <c r="P6">
        <v>1.0721421909351314E-4</v>
      </c>
      <c r="Q6">
        <v>2.6736303122488423E-4</v>
      </c>
      <c r="R6">
        <v>1.5994191021083252E-4</v>
      </c>
      <c r="S6">
        <v>2.2463540570518754E-4</v>
      </c>
      <c r="T6">
        <v>2.7477109500031685E-4</v>
      </c>
      <c r="U6">
        <v>4.3778084927475927E-5</v>
      </c>
      <c r="V6">
        <v>8.453553735878204E-5</v>
      </c>
      <c r="W6">
        <v>7.6982780498103623E-5</v>
      </c>
      <c r="X6">
        <v>3.9915073669874468E-5</v>
      </c>
      <c r="Y6">
        <v>-1.2775813659419855E-5</v>
      </c>
      <c r="Z6">
        <v>2.6876950715859152E-5</v>
      </c>
      <c r="AA6">
        <v>1.1622451724159968E-4</v>
      </c>
      <c r="AB6">
        <v>-6.2858422007810717E-4</v>
      </c>
      <c r="AC6">
        <v>3.5445338969446367E-5</v>
      </c>
      <c r="AD6">
        <v>-1.7365633713470875E-4</v>
      </c>
      <c r="AE6">
        <v>-1.7770262701250037E-4</v>
      </c>
    </row>
    <row r="7" spans="1:31" x14ac:dyDescent="0.2">
      <c r="A7" t="s">
        <v>100</v>
      </c>
      <c r="B7">
        <v>-0.36602602034608805</v>
      </c>
      <c r="C7">
        <v>6.6734979096350397E-6</v>
      </c>
      <c r="D7">
        <v>-4.4894216019213335E-6</v>
      </c>
      <c r="E7">
        <v>-8.2770840722077346E-9</v>
      </c>
      <c r="F7">
        <v>-2.5406039889122747E-5</v>
      </c>
      <c r="G7">
        <v>2.5491288950673356E-4</v>
      </c>
      <c r="H7">
        <v>3.5953635416028857E-3</v>
      </c>
      <c r="I7">
        <v>-3.4198981241563013E-5</v>
      </c>
      <c r="J7">
        <v>-2.1685418005001081E-4</v>
      </c>
      <c r="K7">
        <v>-1.3419764585021065E-4</v>
      </c>
      <c r="L7">
        <v>-5.6133657075701764E-5</v>
      </c>
      <c r="M7">
        <v>-1.5521743699389008E-4</v>
      </c>
      <c r="N7">
        <v>-7.2717736979585005E-4</v>
      </c>
      <c r="O7">
        <v>7.8681840920821625E-5</v>
      </c>
      <c r="P7">
        <v>-1.3281783512066527E-4</v>
      </c>
      <c r="Q7">
        <v>-8.4112104661651847E-5</v>
      </c>
      <c r="R7">
        <v>-2.6080452878926325E-4</v>
      </c>
      <c r="S7">
        <v>-2.6047684935438564E-4</v>
      </c>
      <c r="T7">
        <v>-2.5710662144135514E-4</v>
      </c>
      <c r="U7">
        <v>-1.2440848869462384E-4</v>
      </c>
      <c r="V7">
        <v>-2.7218714877870991E-4</v>
      </c>
      <c r="W7">
        <v>-1.8854191502664481E-4</v>
      </c>
      <c r="X7">
        <v>-4.5425032765538184E-4</v>
      </c>
      <c r="Y7">
        <v>-1.6901313202646994E-5</v>
      </c>
      <c r="Z7">
        <v>5.9548363646425417E-5</v>
      </c>
      <c r="AA7">
        <v>8.6695686877978861E-5</v>
      </c>
      <c r="AB7">
        <v>-4.7673182004497684E-4</v>
      </c>
      <c r="AC7">
        <v>-1.9079492907533377E-4</v>
      </c>
      <c r="AD7">
        <v>-2.231579501326961E-4</v>
      </c>
      <c r="AE7">
        <v>5.5211871198976173E-4</v>
      </c>
    </row>
    <row r="8" spans="1:31" x14ac:dyDescent="0.2">
      <c r="A8" t="s">
        <v>76</v>
      </c>
      <c r="B8">
        <v>-0.39908167086518248</v>
      </c>
      <c r="C8">
        <v>2.8575236049560002E-6</v>
      </c>
      <c r="D8">
        <v>2.0696412306048088E-5</v>
      </c>
      <c r="E8">
        <v>-2.4540956404983813E-7</v>
      </c>
      <c r="F8">
        <v>-2.1202619947748632E-5</v>
      </c>
      <c r="G8">
        <v>2.7448521470631391E-4</v>
      </c>
      <c r="H8">
        <v>-3.4198981241563013E-5</v>
      </c>
      <c r="I8">
        <v>1.5633205315703843E-3</v>
      </c>
      <c r="J8">
        <v>1.2895188083819936E-3</v>
      </c>
      <c r="K8">
        <v>4.5370815461542727E-5</v>
      </c>
      <c r="L8">
        <v>-5.1860800215967309E-6</v>
      </c>
      <c r="M8">
        <v>-3.5262310136384485E-5</v>
      </c>
      <c r="N8">
        <v>-1.1486937996457204E-4</v>
      </c>
      <c r="O8">
        <v>-1.124044794015488E-4</v>
      </c>
      <c r="P8">
        <v>-2.7899867386549474E-4</v>
      </c>
      <c r="Q8">
        <v>-1.1028700544685134E-4</v>
      </c>
      <c r="R8">
        <v>-7.9999559034170495E-5</v>
      </c>
      <c r="S8">
        <v>-2.8332405101964207E-5</v>
      </c>
      <c r="T8">
        <v>6.3480943532694502E-5</v>
      </c>
      <c r="U8">
        <v>-6.8676296401037602E-5</v>
      </c>
      <c r="V8">
        <v>-1.2979112765977192E-4</v>
      </c>
      <c r="W8">
        <v>-9.4582469483295078E-5</v>
      </c>
      <c r="X8">
        <v>-1.4660338267035236E-4</v>
      </c>
      <c r="Y8">
        <v>8.6582450540607133E-6</v>
      </c>
      <c r="Z8">
        <v>-5.0928508146152215E-5</v>
      </c>
      <c r="AA8">
        <v>-2.4038317696408666E-5</v>
      </c>
      <c r="AB8">
        <v>5.42031527039175E-5</v>
      </c>
      <c r="AC8">
        <v>-1.332039807347286E-4</v>
      </c>
      <c r="AD8">
        <v>-5.5563291430793841E-5</v>
      </c>
      <c r="AE8">
        <v>-1.7721255266409277E-3</v>
      </c>
    </row>
    <row r="9" spans="1:31" x14ac:dyDescent="0.2">
      <c r="A9" t="s">
        <v>77</v>
      </c>
      <c r="B9">
        <v>-0.47489702590838118</v>
      </c>
      <c r="C9">
        <v>1.5589916657026965E-4</v>
      </c>
      <c r="D9">
        <v>9.7410269573692393E-6</v>
      </c>
      <c r="E9">
        <v>-2.7594523017025207E-7</v>
      </c>
      <c r="F9">
        <v>-2.731115521903383E-5</v>
      </c>
      <c r="G9">
        <v>2.4033438301119712E-4</v>
      </c>
      <c r="H9">
        <v>-2.1685418005001081E-4</v>
      </c>
      <c r="I9">
        <v>1.2895188083819936E-3</v>
      </c>
      <c r="J9">
        <v>2.2374722715745952E-3</v>
      </c>
      <c r="K9">
        <v>-2.1113783845347589E-4</v>
      </c>
      <c r="L9">
        <v>8.338034636455095E-5</v>
      </c>
      <c r="M9">
        <v>2.2193793153284583E-5</v>
      </c>
      <c r="N9">
        <v>1.2557576681141254E-3</v>
      </c>
      <c r="O9">
        <v>1.2796320805693779E-4</v>
      </c>
      <c r="P9">
        <v>-1.9055722825878172E-5</v>
      </c>
      <c r="Q9">
        <v>1.5486610468052044E-4</v>
      </c>
      <c r="R9">
        <v>1.5512040990621115E-4</v>
      </c>
      <c r="S9">
        <v>2.8008596292478186E-4</v>
      </c>
      <c r="T9">
        <v>2.4378701260511419E-4</v>
      </c>
      <c r="U9">
        <v>1.368047319606076E-4</v>
      </c>
      <c r="V9">
        <v>2.6857981496204763E-5</v>
      </c>
      <c r="W9">
        <v>1.5585587963812611E-4</v>
      </c>
      <c r="X9">
        <v>5.6874210539632764E-5</v>
      </c>
      <c r="Y9">
        <v>4.9444502842136822E-5</v>
      </c>
      <c r="Z9">
        <v>-2.8657959044962726E-4</v>
      </c>
      <c r="AA9">
        <v>-2.5445388119396781E-4</v>
      </c>
      <c r="AB9">
        <v>8.2473367522770103E-4</v>
      </c>
      <c r="AC9">
        <v>2.7070077184820462E-5</v>
      </c>
      <c r="AD9">
        <v>-8.0195715763264333E-5</v>
      </c>
      <c r="AE9">
        <v>-2.4294698537367745E-3</v>
      </c>
    </row>
    <row r="10" spans="1:31" x14ac:dyDescent="0.2">
      <c r="A10" t="s">
        <v>101</v>
      </c>
      <c r="B10">
        <v>0.24141221568554525</v>
      </c>
      <c r="C10">
        <v>-1.2938632257957953E-4</v>
      </c>
      <c r="D10">
        <v>4.1874037085722472E-5</v>
      </c>
      <c r="E10">
        <v>-4.3121747033450395E-7</v>
      </c>
      <c r="F10">
        <v>2.0370341386577052E-4</v>
      </c>
      <c r="G10">
        <v>1.9408270141393403E-4</v>
      </c>
      <c r="H10">
        <v>-1.3419764585021065E-4</v>
      </c>
      <c r="I10">
        <v>4.5370815461542727E-5</v>
      </c>
      <c r="J10">
        <v>-2.1113783845347589E-4</v>
      </c>
      <c r="K10">
        <v>1.093242873472227E-3</v>
      </c>
      <c r="L10">
        <v>-1.8569622521161374E-4</v>
      </c>
      <c r="M10">
        <v>1.7509426773785138E-4</v>
      </c>
      <c r="N10">
        <v>-1.3853485995160056E-3</v>
      </c>
      <c r="O10">
        <v>-2.4636228943125945E-5</v>
      </c>
      <c r="P10">
        <v>-2.1412348797457832E-4</v>
      </c>
      <c r="Q10">
        <v>-1.962581834371125E-4</v>
      </c>
      <c r="R10">
        <v>-3.8573012822309923E-5</v>
      </c>
      <c r="S10">
        <v>-1.2272142083902639E-4</v>
      </c>
      <c r="T10">
        <v>-5.5982438908499165E-5</v>
      </c>
      <c r="U10">
        <v>-6.5231845380108757E-5</v>
      </c>
      <c r="V10">
        <v>-2.2718876190048896E-4</v>
      </c>
      <c r="W10">
        <v>-1.4514180573164855E-4</v>
      </c>
      <c r="X10">
        <v>-2.5574937353528223E-4</v>
      </c>
      <c r="Y10">
        <v>-2.4725191094069569E-5</v>
      </c>
      <c r="Z10">
        <v>1.0414505637354234E-4</v>
      </c>
      <c r="AA10">
        <v>9.7715183000184486E-5</v>
      </c>
      <c r="AB10">
        <v>-1.0295009551078292E-3</v>
      </c>
      <c r="AC10">
        <v>-1.5136788154059325E-4</v>
      </c>
      <c r="AD10">
        <v>-1.1811815807067776E-4</v>
      </c>
      <c r="AE10">
        <v>-4.5658149884034551E-4</v>
      </c>
    </row>
    <row r="11" spans="1:31" x14ac:dyDescent="0.2">
      <c r="A11" t="s">
        <v>102</v>
      </c>
      <c r="B11">
        <v>8.0152375131543982E-2</v>
      </c>
      <c r="C11">
        <v>6.7894424293551693E-5</v>
      </c>
      <c r="D11">
        <v>-2.5672001917459105E-5</v>
      </c>
      <c r="E11">
        <v>2.9618255910231709E-7</v>
      </c>
      <c r="F11">
        <v>-6.2699390961519551E-5</v>
      </c>
      <c r="G11">
        <v>5.3892756639292377E-5</v>
      </c>
      <c r="H11">
        <v>-5.6133657075701764E-5</v>
      </c>
      <c r="I11">
        <v>-5.1860800215967309E-6</v>
      </c>
      <c r="J11">
        <v>8.338034636455095E-5</v>
      </c>
      <c r="K11">
        <v>-1.8569622521161374E-4</v>
      </c>
      <c r="L11">
        <v>2.3649159851454014E-4</v>
      </c>
      <c r="M11">
        <v>-3.5844110248329369E-4</v>
      </c>
      <c r="N11">
        <v>7.4189326270661675E-4</v>
      </c>
      <c r="O11">
        <v>1.0237026688261332E-4</v>
      </c>
      <c r="P11">
        <v>1.2315012054604882E-4</v>
      </c>
      <c r="Q11">
        <v>1.2782871987994799E-4</v>
      </c>
      <c r="R11">
        <v>1.1626641732526624E-4</v>
      </c>
      <c r="S11">
        <v>1.0113057123505252E-4</v>
      </c>
      <c r="T11">
        <v>2.2375385199351169E-4</v>
      </c>
      <c r="U11">
        <v>9.1563355783156372E-5</v>
      </c>
      <c r="V11">
        <v>1.7428510357417627E-4</v>
      </c>
      <c r="W11">
        <v>9.7337681144174409E-5</v>
      </c>
      <c r="X11">
        <v>1.5728634783356948E-4</v>
      </c>
      <c r="Y11">
        <v>1.8778523879688405E-5</v>
      </c>
      <c r="Z11">
        <v>-9.4259592723628974E-5</v>
      </c>
      <c r="AA11">
        <v>-8.8125714302380741E-5</v>
      </c>
      <c r="AB11">
        <v>4.10754276502602E-4</v>
      </c>
      <c r="AC11">
        <v>4.7552024761895559E-5</v>
      </c>
      <c r="AD11">
        <v>1.1075220689609651E-5</v>
      </c>
      <c r="AE11">
        <v>-1.0217551990015307E-4</v>
      </c>
    </row>
    <row r="12" spans="1:31" x14ac:dyDescent="0.2">
      <c r="A12" t="s">
        <v>103</v>
      </c>
      <c r="B12">
        <v>-0.27954910558564344</v>
      </c>
      <c r="C12">
        <v>-1.7525661209723793E-5</v>
      </c>
      <c r="D12">
        <v>4.932296628760201E-5</v>
      </c>
      <c r="E12">
        <v>-5.4028739853021707E-7</v>
      </c>
      <c r="F12">
        <v>-1.893900415090127E-4</v>
      </c>
      <c r="G12">
        <v>-9.3206975497226482E-5</v>
      </c>
      <c r="H12">
        <v>-1.5521743699389008E-4</v>
      </c>
      <c r="I12">
        <v>-3.5262310136384485E-5</v>
      </c>
      <c r="J12">
        <v>2.2193793153284583E-5</v>
      </c>
      <c r="K12">
        <v>1.7509426773785138E-4</v>
      </c>
      <c r="L12">
        <v>-3.5844110248329369E-4</v>
      </c>
      <c r="M12">
        <v>2.6587830279964572E-3</v>
      </c>
      <c r="N12">
        <v>-8.5156913692105364E-4</v>
      </c>
      <c r="O12">
        <v>-2.7789283443586718E-5</v>
      </c>
      <c r="P12">
        <v>2.439563947983518E-6</v>
      </c>
      <c r="Q12">
        <v>-4.1352444674678162E-5</v>
      </c>
      <c r="R12">
        <v>1.4697064052589042E-4</v>
      </c>
      <c r="S12">
        <v>-6.7778127992560859E-5</v>
      </c>
      <c r="T12">
        <v>-3.2560687712397993E-4</v>
      </c>
      <c r="U12">
        <v>2.1178662748409761E-4</v>
      </c>
      <c r="V12">
        <v>-2.3098769764333656E-4</v>
      </c>
      <c r="W12">
        <v>-2.693811627062871E-5</v>
      </c>
      <c r="X12">
        <v>-2.6882193839425253E-4</v>
      </c>
      <c r="Y12">
        <v>3.1029077188897978E-6</v>
      </c>
      <c r="Z12">
        <v>2.642481752966733E-4</v>
      </c>
      <c r="AA12">
        <v>9.1686937183821273E-6</v>
      </c>
      <c r="AB12">
        <v>-4.0099037633440965E-4</v>
      </c>
      <c r="AC12">
        <v>-1.718197330437858E-4</v>
      </c>
      <c r="AD12">
        <v>-1.8829145081964284E-4</v>
      </c>
      <c r="AE12">
        <v>-8.018492066107464E-4</v>
      </c>
    </row>
    <row r="13" spans="1:31" x14ac:dyDescent="0.2">
      <c r="A13" t="s">
        <v>82</v>
      </c>
      <c r="B13">
        <v>0.24261062343045417</v>
      </c>
      <c r="C13">
        <v>9.7832084487310331E-4</v>
      </c>
      <c r="D13">
        <v>-1.4429372669475925E-4</v>
      </c>
      <c r="E13">
        <v>1.4789624238855089E-6</v>
      </c>
      <c r="F13">
        <v>-5.5918112036430464E-4</v>
      </c>
      <c r="G13">
        <v>-3.803872649505006E-4</v>
      </c>
      <c r="H13">
        <v>-7.2717736979585005E-4</v>
      </c>
      <c r="I13">
        <v>-1.1486937996457204E-4</v>
      </c>
      <c r="J13">
        <v>1.2557576681141254E-3</v>
      </c>
      <c r="K13">
        <v>-1.3853485995160056E-3</v>
      </c>
      <c r="L13">
        <v>7.4189326270661675E-4</v>
      </c>
      <c r="M13">
        <v>-8.5156913692105364E-4</v>
      </c>
      <c r="N13">
        <v>1.3317531487189031E-2</v>
      </c>
      <c r="O13">
        <v>2.5970732480113793E-3</v>
      </c>
      <c r="P13">
        <v>2.7405143347577678E-3</v>
      </c>
      <c r="Q13">
        <v>2.8973797394070393E-3</v>
      </c>
      <c r="R13">
        <v>2.4472874651013466E-3</v>
      </c>
      <c r="S13">
        <v>2.7785959655191794E-3</v>
      </c>
      <c r="T13">
        <v>2.7528130314798667E-3</v>
      </c>
      <c r="U13">
        <v>3.2310413155020243E-3</v>
      </c>
      <c r="V13">
        <v>3.1822674000486673E-3</v>
      </c>
      <c r="W13">
        <v>3.1435547327069721E-3</v>
      </c>
      <c r="X13">
        <v>3.0151695719144158E-3</v>
      </c>
      <c r="Y13">
        <v>2.0822649779216491E-4</v>
      </c>
      <c r="Z13">
        <v>-1.0256554875236025E-3</v>
      </c>
      <c r="AA13">
        <v>-9.3677406653447555E-4</v>
      </c>
      <c r="AB13">
        <v>7.0598709556755302E-3</v>
      </c>
      <c r="AC13">
        <v>2.1731994871558987E-3</v>
      </c>
      <c r="AD13">
        <v>1.0532427520007126E-3</v>
      </c>
      <c r="AE13">
        <v>-4.2570894871868268E-3</v>
      </c>
    </row>
    <row r="14" spans="1:31" x14ac:dyDescent="0.2">
      <c r="A14" t="s">
        <v>83</v>
      </c>
      <c r="B14">
        <v>4.0222253109130829E-2</v>
      </c>
      <c r="C14">
        <v>1.216685789786831E-5</v>
      </c>
      <c r="D14">
        <v>-5.3057213903251249E-6</v>
      </c>
      <c r="E14">
        <v>5.175587876443994E-8</v>
      </c>
      <c r="F14">
        <v>-9.5692527918307978E-5</v>
      </c>
      <c r="G14">
        <v>1.2846782710246616E-4</v>
      </c>
      <c r="H14">
        <v>7.8681840920821625E-5</v>
      </c>
      <c r="I14">
        <v>-1.124044794015488E-4</v>
      </c>
      <c r="J14">
        <v>1.2796320805693779E-4</v>
      </c>
      <c r="K14">
        <v>-2.4636228943125945E-5</v>
      </c>
      <c r="L14">
        <v>1.0237026688261332E-4</v>
      </c>
      <c r="M14">
        <v>-2.7789283443586718E-5</v>
      </c>
      <c r="N14">
        <v>2.5970732480113793E-3</v>
      </c>
      <c r="O14">
        <v>3.5619081982354917E-3</v>
      </c>
      <c r="P14">
        <v>1.9186005232924774E-3</v>
      </c>
      <c r="Q14">
        <v>1.9129764872120065E-3</v>
      </c>
      <c r="R14">
        <v>1.8060161641482784E-3</v>
      </c>
      <c r="S14">
        <v>1.8714599074283961E-3</v>
      </c>
      <c r="T14">
        <v>1.9015797817901554E-3</v>
      </c>
      <c r="U14">
        <v>1.9917266158354435E-3</v>
      </c>
      <c r="V14">
        <v>1.9994781055739244E-3</v>
      </c>
      <c r="W14">
        <v>2.0121885670932212E-3</v>
      </c>
      <c r="X14">
        <v>1.939663049864281E-3</v>
      </c>
      <c r="Y14">
        <v>2.9961676209608659E-5</v>
      </c>
      <c r="Z14">
        <v>-1.4089768065518815E-4</v>
      </c>
      <c r="AA14">
        <v>-6.865333240471574E-5</v>
      </c>
      <c r="AB14">
        <v>9.3298076865487274E-4</v>
      </c>
      <c r="AC14">
        <v>1.1850697786575399E-3</v>
      </c>
      <c r="AD14">
        <v>7.5319129936459784E-4</v>
      </c>
      <c r="AE14">
        <v>-2.4542278416741555E-3</v>
      </c>
    </row>
    <row r="15" spans="1:31" x14ac:dyDescent="0.2">
      <c r="A15" t="s">
        <v>84</v>
      </c>
      <c r="B15">
        <v>6.7862762525235626E-2</v>
      </c>
      <c r="C15">
        <v>6.7025936288024301E-5</v>
      </c>
      <c r="D15">
        <v>-1.0628720046719563E-5</v>
      </c>
      <c r="E15">
        <v>1.5985484296610125E-7</v>
      </c>
      <c r="F15">
        <v>-2.3273964828312839E-4</v>
      </c>
      <c r="G15">
        <v>1.0721421909351314E-4</v>
      </c>
      <c r="H15">
        <v>-1.3281783512066527E-4</v>
      </c>
      <c r="I15">
        <v>-2.7899867386549474E-4</v>
      </c>
      <c r="J15">
        <v>-1.9055722825878172E-5</v>
      </c>
      <c r="K15">
        <v>-2.1412348797457832E-4</v>
      </c>
      <c r="L15">
        <v>1.2315012054604882E-4</v>
      </c>
      <c r="M15">
        <v>2.439563947983518E-6</v>
      </c>
      <c r="N15">
        <v>2.7405143347577678E-3</v>
      </c>
      <c r="O15">
        <v>1.9186005232924774E-3</v>
      </c>
      <c r="P15">
        <v>3.9004285679836901E-3</v>
      </c>
      <c r="Q15">
        <v>1.9819904506734177E-3</v>
      </c>
      <c r="R15">
        <v>1.8542235508546123E-3</v>
      </c>
      <c r="S15">
        <v>1.9200283462827801E-3</v>
      </c>
      <c r="T15">
        <v>1.9525886653840834E-3</v>
      </c>
      <c r="U15">
        <v>2.0471982516358242E-3</v>
      </c>
      <c r="V15">
        <v>2.074949018415922E-3</v>
      </c>
      <c r="W15">
        <v>2.0639629857810045E-3</v>
      </c>
      <c r="X15">
        <v>2.0144988424817423E-3</v>
      </c>
      <c r="Y15">
        <v>3.8201934498808247E-5</v>
      </c>
      <c r="Z15">
        <v>-3.394434038218511E-5</v>
      </c>
      <c r="AA15">
        <v>-2.4554929579479997E-5</v>
      </c>
      <c r="AB15">
        <v>1.0916647770749972E-3</v>
      </c>
      <c r="AC15">
        <v>1.2499750297872776E-3</v>
      </c>
      <c r="AD15">
        <v>7.2373494921241783E-4</v>
      </c>
      <c r="AE15">
        <v>-2.4034062822548222E-3</v>
      </c>
    </row>
    <row r="16" spans="1:31" x14ac:dyDescent="0.2">
      <c r="A16" t="s">
        <v>85</v>
      </c>
      <c r="B16">
        <v>-2.6757341503754379E-2</v>
      </c>
      <c r="C16">
        <v>3.7766337735720328E-5</v>
      </c>
      <c r="D16">
        <v>-2.2119597892756175E-5</v>
      </c>
      <c r="E16">
        <v>2.6410558689166182E-7</v>
      </c>
      <c r="F16">
        <v>-1.641193616534075E-4</v>
      </c>
      <c r="G16">
        <v>2.6736303122488423E-4</v>
      </c>
      <c r="H16">
        <v>-8.4112104661651847E-5</v>
      </c>
      <c r="I16">
        <v>-1.1028700544685134E-4</v>
      </c>
      <c r="J16">
        <v>1.5486610468052044E-4</v>
      </c>
      <c r="K16">
        <v>-1.962581834371125E-4</v>
      </c>
      <c r="L16">
        <v>1.2782871987994799E-4</v>
      </c>
      <c r="M16">
        <v>-4.1352444674678162E-5</v>
      </c>
      <c r="N16">
        <v>2.8973797394070393E-3</v>
      </c>
      <c r="O16">
        <v>1.9129764872120065E-3</v>
      </c>
      <c r="P16">
        <v>1.9819904506734177E-3</v>
      </c>
      <c r="Q16">
        <v>4.4082927313127997E-3</v>
      </c>
      <c r="R16">
        <v>1.8501534452391828E-3</v>
      </c>
      <c r="S16">
        <v>1.9305241863183651E-3</v>
      </c>
      <c r="T16">
        <v>1.9588910603100069E-3</v>
      </c>
      <c r="U16">
        <v>2.0484261611132138E-3</v>
      </c>
      <c r="V16">
        <v>2.0695245321026836E-3</v>
      </c>
      <c r="W16">
        <v>2.0691750100836452E-3</v>
      </c>
      <c r="X16">
        <v>2.0124696073839541E-3</v>
      </c>
      <c r="Y16">
        <v>3.0042541324265233E-5</v>
      </c>
      <c r="Z16">
        <v>-3.2407374999014185E-5</v>
      </c>
      <c r="AA16">
        <v>-2.1846618820178473E-4</v>
      </c>
      <c r="AB16">
        <v>1.2099176869945359E-3</v>
      </c>
      <c r="AC16">
        <v>1.228117076180804E-3</v>
      </c>
      <c r="AD16">
        <v>5.6193521275156426E-4</v>
      </c>
      <c r="AE16">
        <v>-2.2222198181616757E-3</v>
      </c>
    </row>
    <row r="17" spans="1:31" x14ac:dyDescent="0.2">
      <c r="A17" t="s">
        <v>86</v>
      </c>
      <c r="B17">
        <v>0.13871149405160627</v>
      </c>
      <c r="C17">
        <v>9.3798557796369151E-5</v>
      </c>
      <c r="D17">
        <v>-1.4951665386641984E-5</v>
      </c>
      <c r="E17">
        <v>1.6923797609704447E-7</v>
      </c>
      <c r="F17">
        <v>-8.9319339848745326E-5</v>
      </c>
      <c r="G17">
        <v>1.5994191021083252E-4</v>
      </c>
      <c r="H17">
        <v>-2.6080452878926325E-4</v>
      </c>
      <c r="I17">
        <v>-7.9999559034170495E-5</v>
      </c>
      <c r="J17">
        <v>1.5512040990621115E-4</v>
      </c>
      <c r="K17">
        <v>-3.8573012822309923E-5</v>
      </c>
      <c r="L17">
        <v>1.1626641732526624E-4</v>
      </c>
      <c r="M17">
        <v>1.4697064052589042E-4</v>
      </c>
      <c r="N17">
        <v>2.4472874651013466E-3</v>
      </c>
      <c r="O17">
        <v>1.8060161641482784E-3</v>
      </c>
      <c r="P17">
        <v>1.8542235508546123E-3</v>
      </c>
      <c r="Q17">
        <v>1.8501534452391828E-3</v>
      </c>
      <c r="R17">
        <v>3.7632380637039114E-3</v>
      </c>
      <c r="S17">
        <v>1.8093344700968877E-3</v>
      </c>
      <c r="T17">
        <v>1.8383826646614539E-3</v>
      </c>
      <c r="U17">
        <v>1.9066055071603855E-3</v>
      </c>
      <c r="V17">
        <v>1.922372120550549E-3</v>
      </c>
      <c r="W17">
        <v>1.9389262987207275E-3</v>
      </c>
      <c r="X17">
        <v>1.8835303138133733E-3</v>
      </c>
      <c r="Y17">
        <v>3.6970200092700784E-5</v>
      </c>
      <c r="Z17">
        <v>-2.61658312132441E-4</v>
      </c>
      <c r="AA17">
        <v>-4.6251060556512795E-5</v>
      </c>
      <c r="AB17">
        <v>6.5716476170967516E-4</v>
      </c>
      <c r="AC17">
        <v>1.1468931081813219E-3</v>
      </c>
      <c r="AD17">
        <v>5.358994147007522E-4</v>
      </c>
      <c r="AE17">
        <v>-2.393241562085922E-3</v>
      </c>
    </row>
    <row r="18" spans="1:31" x14ac:dyDescent="0.2">
      <c r="A18" t="s">
        <v>87</v>
      </c>
      <c r="B18">
        <v>6.1773611342257805E-2</v>
      </c>
      <c r="C18">
        <v>1.1995179300227329E-4</v>
      </c>
      <c r="D18">
        <v>-4.7538571277974217E-6</v>
      </c>
      <c r="E18">
        <v>5.1621890817646683E-8</v>
      </c>
      <c r="F18">
        <v>-1.6652864381594447E-4</v>
      </c>
      <c r="G18">
        <v>2.2463540570518754E-4</v>
      </c>
      <c r="H18">
        <v>-2.6047684935438564E-4</v>
      </c>
      <c r="I18">
        <v>-2.8332405101964207E-5</v>
      </c>
      <c r="J18">
        <v>2.8008596292478186E-4</v>
      </c>
      <c r="K18">
        <v>-1.2272142083902639E-4</v>
      </c>
      <c r="L18">
        <v>1.0113057123505252E-4</v>
      </c>
      <c r="M18">
        <v>-6.7778127992560859E-5</v>
      </c>
      <c r="N18">
        <v>2.7785959655191794E-3</v>
      </c>
      <c r="O18">
        <v>1.8714599074283961E-3</v>
      </c>
      <c r="P18">
        <v>1.9200283462827801E-3</v>
      </c>
      <c r="Q18">
        <v>1.9305241863183651E-3</v>
      </c>
      <c r="R18">
        <v>1.8093344700968877E-3</v>
      </c>
      <c r="S18">
        <v>3.8299182937465591E-3</v>
      </c>
      <c r="T18">
        <v>1.8914413051979908E-3</v>
      </c>
      <c r="U18">
        <v>2.0002866599466698E-3</v>
      </c>
      <c r="V18">
        <v>1.9979021759454745E-3</v>
      </c>
      <c r="W18">
        <v>2.0126724201340335E-3</v>
      </c>
      <c r="X18">
        <v>1.9511846087224807E-3</v>
      </c>
      <c r="Y18">
        <v>3.0309737417624099E-5</v>
      </c>
      <c r="Z18">
        <v>-7.0286230303622064E-5</v>
      </c>
      <c r="AA18">
        <v>-3.5176259260119819E-5</v>
      </c>
      <c r="AB18">
        <v>1.1036020823796001E-3</v>
      </c>
      <c r="AC18">
        <v>1.1407855953632761E-3</v>
      </c>
      <c r="AD18">
        <v>4.9786495609000338E-4</v>
      </c>
      <c r="AE18">
        <v>-2.5746408895306301E-3</v>
      </c>
    </row>
    <row r="19" spans="1:31" x14ac:dyDescent="0.2">
      <c r="A19" t="s">
        <v>88</v>
      </c>
      <c r="B19">
        <v>9.6989399024667633E-2</v>
      </c>
      <c r="C19">
        <v>1.85143576070461E-5</v>
      </c>
      <c r="D19">
        <v>-9.132820121016095E-6</v>
      </c>
      <c r="E19">
        <v>1.0958932693839499E-7</v>
      </c>
      <c r="F19">
        <v>-3.8179486223193057E-5</v>
      </c>
      <c r="G19">
        <v>2.7477109500031685E-4</v>
      </c>
      <c r="H19">
        <v>-2.5710662144135514E-4</v>
      </c>
      <c r="I19">
        <v>6.3480943532694502E-5</v>
      </c>
      <c r="J19">
        <v>2.4378701260511419E-4</v>
      </c>
      <c r="K19">
        <v>-5.5982438908499165E-5</v>
      </c>
      <c r="L19">
        <v>2.2375385199351169E-4</v>
      </c>
      <c r="M19">
        <v>-3.2560687712397993E-4</v>
      </c>
      <c r="N19">
        <v>2.7528130314798667E-3</v>
      </c>
      <c r="O19">
        <v>1.9015797817901554E-3</v>
      </c>
      <c r="P19">
        <v>1.9525886653840834E-3</v>
      </c>
      <c r="Q19">
        <v>1.9588910603100069E-3</v>
      </c>
      <c r="R19">
        <v>1.8383826646614539E-3</v>
      </c>
      <c r="S19">
        <v>1.8914413051979908E-3</v>
      </c>
      <c r="T19">
        <v>3.4451294980217466E-3</v>
      </c>
      <c r="U19">
        <v>2.025079967128383E-3</v>
      </c>
      <c r="V19">
        <v>2.035905726771323E-3</v>
      </c>
      <c r="W19">
        <v>2.0297147172240438E-3</v>
      </c>
      <c r="X19">
        <v>2.0146060218779963E-3</v>
      </c>
      <c r="Y19">
        <v>6.4061536440074946E-5</v>
      </c>
      <c r="Z19">
        <v>-4.0593838477195513E-4</v>
      </c>
      <c r="AA19">
        <v>-3.5262706633726727E-4</v>
      </c>
      <c r="AB19">
        <v>1.1288348069041444E-3</v>
      </c>
      <c r="AC19">
        <v>1.1590528229486732E-3</v>
      </c>
      <c r="AD19">
        <v>4.9662615422145517E-4</v>
      </c>
      <c r="AE19">
        <v>-3.2075575297997403E-3</v>
      </c>
    </row>
    <row r="20" spans="1:31" x14ac:dyDescent="0.2">
      <c r="A20" t="s">
        <v>89</v>
      </c>
      <c r="B20">
        <v>5.5746337311193057E-2</v>
      </c>
      <c r="C20">
        <v>3.8628074414085567E-5</v>
      </c>
      <c r="D20">
        <v>-1.4082897465940653E-7</v>
      </c>
      <c r="E20">
        <v>5.5238431194394574E-8</v>
      </c>
      <c r="F20">
        <v>-1.5288142446867072E-4</v>
      </c>
      <c r="G20">
        <v>4.3778084927475927E-5</v>
      </c>
      <c r="H20">
        <v>-1.2440848869462384E-4</v>
      </c>
      <c r="I20">
        <v>-6.8676296401037602E-5</v>
      </c>
      <c r="J20">
        <v>1.368047319606076E-4</v>
      </c>
      <c r="K20">
        <v>-6.5231845380108757E-5</v>
      </c>
      <c r="L20">
        <v>9.1563355783156372E-5</v>
      </c>
      <c r="M20">
        <v>2.1178662748409761E-4</v>
      </c>
      <c r="N20">
        <v>3.2310413155020243E-3</v>
      </c>
      <c r="O20">
        <v>1.9917266158354435E-3</v>
      </c>
      <c r="P20">
        <v>2.0471982516358242E-3</v>
      </c>
      <c r="Q20">
        <v>2.0484261611132138E-3</v>
      </c>
      <c r="R20">
        <v>1.9066055071603855E-3</v>
      </c>
      <c r="S20">
        <v>2.0002866599466698E-3</v>
      </c>
      <c r="T20">
        <v>2.025079967128383E-3</v>
      </c>
      <c r="U20">
        <v>4.5588472045767639E-3</v>
      </c>
      <c r="V20">
        <v>2.1444153358436092E-3</v>
      </c>
      <c r="W20">
        <v>2.168720022265739E-3</v>
      </c>
      <c r="X20">
        <v>2.1158303218502188E-3</v>
      </c>
      <c r="Y20">
        <v>5.8912052062536243E-5</v>
      </c>
      <c r="Z20">
        <v>-2.6456963249513448E-4</v>
      </c>
      <c r="AA20">
        <v>-3.3610535203274384E-4</v>
      </c>
      <c r="AB20">
        <v>1.5270212813485967E-3</v>
      </c>
      <c r="AC20">
        <v>1.3930633503678657E-3</v>
      </c>
      <c r="AD20">
        <v>7.2396155738155266E-4</v>
      </c>
      <c r="AE20">
        <v>-3.2389985641306067E-3</v>
      </c>
    </row>
    <row r="21" spans="1:31" x14ac:dyDescent="0.2">
      <c r="A21" t="s">
        <v>90</v>
      </c>
      <c r="B21">
        <v>4.0239399230570815E-2</v>
      </c>
      <c r="C21">
        <v>5.1904105927145076E-5</v>
      </c>
      <c r="D21">
        <v>-4.7302661164484613E-5</v>
      </c>
      <c r="E21">
        <v>6.5455102643334911E-7</v>
      </c>
      <c r="F21">
        <v>-7.5708030366816227E-5</v>
      </c>
      <c r="G21">
        <v>8.453553735878204E-5</v>
      </c>
      <c r="H21">
        <v>-2.7218714877870991E-4</v>
      </c>
      <c r="I21">
        <v>-1.2979112765977192E-4</v>
      </c>
      <c r="J21">
        <v>2.6857981496204763E-5</v>
      </c>
      <c r="K21">
        <v>-2.2718876190048896E-4</v>
      </c>
      <c r="L21">
        <v>1.7428510357417627E-4</v>
      </c>
      <c r="M21">
        <v>-2.3098769764333656E-4</v>
      </c>
      <c r="N21">
        <v>3.1822674000486673E-3</v>
      </c>
      <c r="O21">
        <v>1.9994781055739244E-3</v>
      </c>
      <c r="P21">
        <v>2.074949018415922E-3</v>
      </c>
      <c r="Q21">
        <v>2.0695245321026836E-3</v>
      </c>
      <c r="R21">
        <v>1.922372120550549E-3</v>
      </c>
      <c r="S21">
        <v>1.9979021759454745E-3</v>
      </c>
      <c r="T21">
        <v>2.035905726771323E-3</v>
      </c>
      <c r="U21">
        <v>2.1444153358436092E-3</v>
      </c>
      <c r="V21">
        <v>4.8547631253826259E-3</v>
      </c>
      <c r="W21">
        <v>2.1692299485703715E-3</v>
      </c>
      <c r="X21">
        <v>2.1483080897297955E-3</v>
      </c>
      <c r="Y21">
        <v>3.7375573748301555E-5</v>
      </c>
      <c r="Z21">
        <v>-2.3159897235975539E-4</v>
      </c>
      <c r="AA21">
        <v>-6.1973785541327838E-5</v>
      </c>
      <c r="AB21">
        <v>1.5145242223529275E-3</v>
      </c>
      <c r="AC21">
        <v>1.4559053981463481E-3</v>
      </c>
      <c r="AD21">
        <v>7.8678440231056779E-4</v>
      </c>
      <c r="AE21">
        <v>-2.0397632805032335E-3</v>
      </c>
    </row>
    <row r="22" spans="1:31" x14ac:dyDescent="0.2">
      <c r="A22" t="s">
        <v>91</v>
      </c>
      <c r="B22">
        <v>0.31004908426141653</v>
      </c>
      <c r="C22">
        <v>1.2448005771207552E-4</v>
      </c>
      <c r="D22">
        <v>-2.2908347989690386E-5</v>
      </c>
      <c r="E22">
        <v>2.1667575439639099E-7</v>
      </c>
      <c r="F22">
        <v>-1.1940016530966608E-4</v>
      </c>
      <c r="G22">
        <v>7.6982780498103623E-5</v>
      </c>
      <c r="H22">
        <v>-1.8854191502664481E-4</v>
      </c>
      <c r="I22">
        <v>-9.4582469483295078E-5</v>
      </c>
      <c r="J22">
        <v>1.5585587963812611E-4</v>
      </c>
      <c r="K22">
        <v>-1.4514180573164855E-4</v>
      </c>
      <c r="L22">
        <v>9.7337681144174409E-5</v>
      </c>
      <c r="M22">
        <v>-2.693811627062871E-5</v>
      </c>
      <c r="N22">
        <v>3.1435547327069721E-3</v>
      </c>
      <c r="O22">
        <v>2.0121885670932212E-3</v>
      </c>
      <c r="P22">
        <v>2.0639629857810045E-3</v>
      </c>
      <c r="Q22">
        <v>2.0691750100836452E-3</v>
      </c>
      <c r="R22">
        <v>1.9389262987207275E-3</v>
      </c>
      <c r="S22">
        <v>2.0126724201340335E-3</v>
      </c>
      <c r="T22">
        <v>2.0297147172240438E-3</v>
      </c>
      <c r="U22">
        <v>2.168720022265739E-3</v>
      </c>
      <c r="V22">
        <v>2.1692299485703715E-3</v>
      </c>
      <c r="W22">
        <v>3.6643715788384486E-3</v>
      </c>
      <c r="X22">
        <v>2.1398599938155147E-3</v>
      </c>
      <c r="Y22">
        <v>4.7624133539269883E-5</v>
      </c>
      <c r="Z22">
        <v>-1.7500614898988359E-4</v>
      </c>
      <c r="AA22">
        <v>-1.6929627507079003E-4</v>
      </c>
      <c r="AB22">
        <v>1.4707595159853134E-3</v>
      </c>
      <c r="AC22">
        <v>1.6722170937838463E-3</v>
      </c>
      <c r="AD22">
        <v>7.8061632887042724E-4</v>
      </c>
      <c r="AE22">
        <v>-2.5822634587404532E-3</v>
      </c>
    </row>
    <row r="23" spans="1:31" x14ac:dyDescent="0.2">
      <c r="A23" t="s">
        <v>92</v>
      </c>
      <c r="B23">
        <v>8.1358466826021422E-2</v>
      </c>
      <c r="C23">
        <v>-1.2836201470697991E-6</v>
      </c>
      <c r="D23">
        <v>-4.3565317670638838E-5</v>
      </c>
      <c r="E23">
        <v>4.9662054030510636E-7</v>
      </c>
      <c r="F23">
        <v>6.298088631925201E-5</v>
      </c>
      <c r="G23">
        <v>3.9915073669874468E-5</v>
      </c>
      <c r="H23">
        <v>-4.5425032765538184E-4</v>
      </c>
      <c r="I23">
        <v>-1.4660338267035236E-4</v>
      </c>
      <c r="J23">
        <v>5.6874210539632764E-5</v>
      </c>
      <c r="K23">
        <v>-2.5574937353528223E-4</v>
      </c>
      <c r="L23">
        <v>1.5728634783356948E-4</v>
      </c>
      <c r="M23">
        <v>-2.6882193839425253E-4</v>
      </c>
      <c r="N23">
        <v>3.0151695719144158E-3</v>
      </c>
      <c r="O23">
        <v>1.939663049864281E-3</v>
      </c>
      <c r="P23">
        <v>2.0144988424817423E-3</v>
      </c>
      <c r="Q23">
        <v>2.0124696073839541E-3</v>
      </c>
      <c r="R23">
        <v>1.8835303138133733E-3</v>
      </c>
      <c r="S23">
        <v>1.9511846087224807E-3</v>
      </c>
      <c r="T23">
        <v>2.0146060218779963E-3</v>
      </c>
      <c r="U23">
        <v>2.1158303218502188E-3</v>
      </c>
      <c r="V23">
        <v>2.1483080897297955E-3</v>
      </c>
      <c r="W23">
        <v>2.1398599938155147E-3</v>
      </c>
      <c r="X23">
        <v>5.0159838559309632E-3</v>
      </c>
      <c r="Y23">
        <v>2.997915278178022E-5</v>
      </c>
      <c r="Z23">
        <v>-2.5643870882019118E-4</v>
      </c>
      <c r="AA23">
        <v>-2.1167253368035803E-4</v>
      </c>
      <c r="AB23">
        <v>1.4324631002520468E-3</v>
      </c>
      <c r="AC23">
        <v>1.4624738068730169E-3</v>
      </c>
      <c r="AD23">
        <v>7.5330486200408508E-4</v>
      </c>
      <c r="AE23">
        <v>-1.7869744446669198E-3</v>
      </c>
    </row>
    <row r="24" spans="1:31" x14ac:dyDescent="0.2">
      <c r="A24" t="s">
        <v>132</v>
      </c>
      <c r="B24">
        <v>-5.6203042559486351E-3</v>
      </c>
      <c r="C24">
        <v>1.2632098917311364E-5</v>
      </c>
      <c r="D24">
        <v>-2.7705035860279556E-6</v>
      </c>
      <c r="E24">
        <v>1.7684336779126305E-8</v>
      </c>
      <c r="F24">
        <v>1.0338857773227049E-5</v>
      </c>
      <c r="G24">
        <v>-1.2775813659419855E-5</v>
      </c>
      <c r="H24">
        <v>-1.6901313202646994E-5</v>
      </c>
      <c r="I24">
        <v>8.6582450540607133E-6</v>
      </c>
      <c r="J24">
        <v>4.9444502842136822E-5</v>
      </c>
      <c r="K24">
        <v>-2.4725191094069569E-5</v>
      </c>
      <c r="L24">
        <v>1.8778523879688405E-5</v>
      </c>
      <c r="M24">
        <v>3.1029077188897978E-6</v>
      </c>
      <c r="N24">
        <v>2.0822649779216491E-4</v>
      </c>
      <c r="O24">
        <v>2.9961676209608659E-5</v>
      </c>
      <c r="P24">
        <v>3.8201934498808247E-5</v>
      </c>
      <c r="Q24">
        <v>3.0042541324265233E-5</v>
      </c>
      <c r="R24">
        <v>3.6970200092700784E-5</v>
      </c>
      <c r="S24">
        <v>3.0309737417624099E-5</v>
      </c>
      <c r="T24">
        <v>6.4061536440074946E-5</v>
      </c>
      <c r="U24">
        <v>5.8912052062536243E-5</v>
      </c>
      <c r="V24">
        <v>3.7375573748301555E-5</v>
      </c>
      <c r="W24">
        <v>4.7624133539269883E-5</v>
      </c>
      <c r="X24">
        <v>2.997915278178022E-5</v>
      </c>
      <c r="Y24">
        <v>1.9767509493997561E-5</v>
      </c>
      <c r="Z24">
        <v>-8.2025943101329617E-5</v>
      </c>
      <c r="AA24">
        <v>-1.0049642072200148E-4</v>
      </c>
      <c r="AB24">
        <v>1.2518166736309321E-4</v>
      </c>
      <c r="AC24">
        <v>2.1606267075462843E-5</v>
      </c>
      <c r="AD24">
        <v>-1.44782473730899E-5</v>
      </c>
      <c r="AE24">
        <v>-3.2435990444249624E-4</v>
      </c>
    </row>
    <row r="25" spans="1:31" x14ac:dyDescent="0.2">
      <c r="A25" t="s">
        <v>93</v>
      </c>
      <c r="B25">
        <v>-1.6606739423578529E-3</v>
      </c>
      <c r="C25">
        <v>-3.1810920168668728E-6</v>
      </c>
      <c r="D25">
        <v>3.0542130706676216E-5</v>
      </c>
      <c r="E25">
        <v>-3.0624105299511503E-7</v>
      </c>
      <c r="F25">
        <v>-9.3587457143856986E-5</v>
      </c>
      <c r="G25">
        <v>2.6876950715859152E-5</v>
      </c>
      <c r="H25">
        <v>5.9548363646425417E-5</v>
      </c>
      <c r="I25">
        <v>-5.0928508146152215E-5</v>
      </c>
      <c r="J25">
        <v>-2.8657959044962726E-4</v>
      </c>
      <c r="K25">
        <v>1.0414505637354234E-4</v>
      </c>
      <c r="L25">
        <v>-9.4259592723628974E-5</v>
      </c>
      <c r="M25">
        <v>2.642481752966733E-4</v>
      </c>
      <c r="N25">
        <v>-1.0256554875236025E-3</v>
      </c>
      <c r="O25">
        <v>-1.4089768065518815E-4</v>
      </c>
      <c r="P25">
        <v>-3.394434038218511E-5</v>
      </c>
      <c r="Q25">
        <v>-3.2407374999014185E-5</v>
      </c>
      <c r="R25">
        <v>-2.61658312132441E-4</v>
      </c>
      <c r="S25">
        <v>-7.0286230303622064E-5</v>
      </c>
      <c r="T25">
        <v>-4.0593838477195513E-4</v>
      </c>
      <c r="U25">
        <v>-2.6456963249513448E-4</v>
      </c>
      <c r="V25">
        <v>-2.3159897235975539E-4</v>
      </c>
      <c r="W25">
        <v>-1.7500614898988359E-4</v>
      </c>
      <c r="X25">
        <v>-2.5643870882019118E-4</v>
      </c>
      <c r="Y25">
        <v>-8.2025943101329617E-5</v>
      </c>
      <c r="Z25">
        <v>3.4081494756399251E-3</v>
      </c>
      <c r="AA25">
        <v>5.9139452195215291E-4</v>
      </c>
      <c r="AB25">
        <v>-5.8120730971870623E-4</v>
      </c>
      <c r="AC25">
        <v>-1.5703388619074009E-4</v>
      </c>
      <c r="AD25">
        <v>5.6570712257434221E-5</v>
      </c>
      <c r="AE25">
        <v>8.8784809034039673E-4</v>
      </c>
    </row>
    <row r="26" spans="1:31" x14ac:dyDescent="0.2">
      <c r="A26" t="s">
        <v>94</v>
      </c>
      <c r="B26">
        <v>0.10466230451637719</v>
      </c>
      <c r="C26">
        <v>-3.4472130257756802E-5</v>
      </c>
      <c r="D26">
        <v>2.7402656989075657E-5</v>
      </c>
      <c r="E26">
        <v>-3.0427678367440758E-7</v>
      </c>
      <c r="F26">
        <v>-9.326074418688937E-5</v>
      </c>
      <c r="G26">
        <v>1.1622451724159968E-4</v>
      </c>
      <c r="H26">
        <v>8.6695686877978861E-5</v>
      </c>
      <c r="I26">
        <v>-2.4038317696408666E-5</v>
      </c>
      <c r="J26">
        <v>-2.5445388119396781E-4</v>
      </c>
      <c r="K26">
        <v>9.7715183000184486E-5</v>
      </c>
      <c r="L26">
        <v>-8.8125714302380741E-5</v>
      </c>
      <c r="M26">
        <v>9.1686937183821273E-6</v>
      </c>
      <c r="N26">
        <v>-9.3677406653447555E-4</v>
      </c>
      <c r="O26">
        <v>-6.865333240471574E-5</v>
      </c>
      <c r="P26">
        <v>-2.4554929579479997E-5</v>
      </c>
      <c r="Q26">
        <v>-2.1846618820178473E-4</v>
      </c>
      <c r="R26">
        <v>-4.6251060556512795E-5</v>
      </c>
      <c r="S26">
        <v>-3.5176259260119819E-5</v>
      </c>
      <c r="T26">
        <v>-3.5262706633726727E-4</v>
      </c>
      <c r="U26">
        <v>-3.3610535203274384E-4</v>
      </c>
      <c r="V26">
        <v>-6.1973785541327838E-5</v>
      </c>
      <c r="W26">
        <v>-1.6929627507079003E-4</v>
      </c>
      <c r="X26">
        <v>-2.1167253368035803E-4</v>
      </c>
      <c r="Y26">
        <v>-1.0049642072200148E-4</v>
      </c>
      <c r="Z26">
        <v>5.9139452195215291E-4</v>
      </c>
      <c r="AA26">
        <v>3.1152265505895826E-3</v>
      </c>
      <c r="AB26">
        <v>-7.752809133717575E-4</v>
      </c>
      <c r="AC26">
        <v>-1.3154552290294797E-4</v>
      </c>
      <c r="AD26">
        <v>-4.4723707751019831E-5</v>
      </c>
      <c r="AE26">
        <v>1.2270838558350785E-3</v>
      </c>
    </row>
    <row r="27" spans="1:31" x14ac:dyDescent="0.2">
      <c r="A27" t="s">
        <v>95</v>
      </c>
      <c r="B27">
        <v>0.14160826326093826</v>
      </c>
      <c r="C27">
        <v>6.04775176181126E-4</v>
      </c>
      <c r="D27">
        <v>-1.1854956378222427E-4</v>
      </c>
      <c r="E27">
        <v>1.2692888125915495E-6</v>
      </c>
      <c r="F27">
        <v>-4.7773059988050464E-4</v>
      </c>
      <c r="G27">
        <v>-6.2858422007810717E-4</v>
      </c>
      <c r="H27">
        <v>-4.7673182004497684E-4</v>
      </c>
      <c r="I27">
        <v>5.42031527039175E-5</v>
      </c>
      <c r="J27">
        <v>8.2473367522770103E-4</v>
      </c>
      <c r="K27">
        <v>-1.0295009551078292E-3</v>
      </c>
      <c r="L27">
        <v>4.10754276502602E-4</v>
      </c>
      <c r="M27">
        <v>-4.0099037633440965E-4</v>
      </c>
      <c r="N27">
        <v>7.0598709556755302E-3</v>
      </c>
      <c r="O27">
        <v>9.3298076865487274E-4</v>
      </c>
      <c r="P27">
        <v>1.0916647770749972E-3</v>
      </c>
      <c r="Q27">
        <v>1.2099176869945359E-3</v>
      </c>
      <c r="R27">
        <v>6.5716476170967516E-4</v>
      </c>
      <c r="S27">
        <v>1.1036020823796001E-3</v>
      </c>
      <c r="T27">
        <v>1.1288348069041444E-3</v>
      </c>
      <c r="U27">
        <v>1.5270212813485967E-3</v>
      </c>
      <c r="V27">
        <v>1.5145242223529275E-3</v>
      </c>
      <c r="W27">
        <v>1.4707595159853134E-3</v>
      </c>
      <c r="X27">
        <v>1.4324631002520468E-3</v>
      </c>
      <c r="Y27">
        <v>1.2518166736309321E-4</v>
      </c>
      <c r="Z27">
        <v>-5.8120730971870623E-4</v>
      </c>
      <c r="AA27">
        <v>-7.752809133717575E-4</v>
      </c>
      <c r="AB27">
        <v>6.8888204115378372E-3</v>
      </c>
      <c r="AC27">
        <v>1.1929535453354572E-3</v>
      </c>
      <c r="AD27">
        <v>6.7035997131727047E-4</v>
      </c>
      <c r="AE27">
        <v>-1.541388434523251E-3</v>
      </c>
    </row>
    <row r="28" spans="1:31" x14ac:dyDescent="0.2">
      <c r="A28" t="s">
        <v>96</v>
      </c>
      <c r="B28">
        <v>0.40632798565635414</v>
      </c>
      <c r="C28">
        <v>8.0695802919589769E-5</v>
      </c>
      <c r="D28">
        <v>-5.6588286813236729E-5</v>
      </c>
      <c r="E28">
        <v>6.2122068248526299E-7</v>
      </c>
      <c r="F28">
        <v>1.6859177822845732E-5</v>
      </c>
      <c r="G28">
        <v>3.5445338969446367E-5</v>
      </c>
      <c r="H28">
        <v>-1.9079492907533377E-4</v>
      </c>
      <c r="I28">
        <v>-1.332039807347286E-4</v>
      </c>
      <c r="J28">
        <v>2.7070077184820462E-5</v>
      </c>
      <c r="K28">
        <v>-1.5136788154059325E-4</v>
      </c>
      <c r="L28">
        <v>4.7552024761895559E-5</v>
      </c>
      <c r="M28">
        <v>-1.718197330437858E-4</v>
      </c>
      <c r="N28">
        <v>2.1731994871558987E-3</v>
      </c>
      <c r="O28">
        <v>1.1850697786575399E-3</v>
      </c>
      <c r="P28">
        <v>1.2499750297872776E-3</v>
      </c>
      <c r="Q28">
        <v>1.228117076180804E-3</v>
      </c>
      <c r="R28">
        <v>1.1468931081813219E-3</v>
      </c>
      <c r="S28">
        <v>1.1407855953632761E-3</v>
      </c>
      <c r="T28">
        <v>1.1590528229486732E-3</v>
      </c>
      <c r="U28">
        <v>1.3930633503678657E-3</v>
      </c>
      <c r="V28">
        <v>1.4559053981463481E-3</v>
      </c>
      <c r="W28">
        <v>1.6722170937838463E-3</v>
      </c>
      <c r="X28">
        <v>1.4624738068730169E-3</v>
      </c>
      <c r="Y28">
        <v>2.1606267075462843E-5</v>
      </c>
      <c r="Z28">
        <v>-1.5703388619074009E-4</v>
      </c>
      <c r="AA28">
        <v>-1.3154552290294797E-4</v>
      </c>
      <c r="AB28">
        <v>1.1929535453354572E-3</v>
      </c>
      <c r="AC28">
        <v>3.8091956383684207E-3</v>
      </c>
      <c r="AD28">
        <v>6.4744268638244049E-4</v>
      </c>
      <c r="AE28">
        <v>-7.4039847103821404E-4</v>
      </c>
    </row>
    <row r="29" spans="1:31" x14ac:dyDescent="0.2">
      <c r="A29" t="s">
        <v>97</v>
      </c>
      <c r="B29">
        <v>1.536154139972486E-2</v>
      </c>
      <c r="C29">
        <v>-2.1041596288473205E-5</v>
      </c>
      <c r="D29">
        <v>-1.1926405670069362E-5</v>
      </c>
      <c r="E29">
        <v>2.0044262487310574E-7</v>
      </c>
      <c r="F29">
        <v>-4.8213671506052444E-5</v>
      </c>
      <c r="G29">
        <v>-1.7365633713470875E-4</v>
      </c>
      <c r="H29">
        <v>-2.231579501326961E-4</v>
      </c>
      <c r="I29">
        <v>-5.5563291430793841E-5</v>
      </c>
      <c r="J29">
        <v>-8.0195715763264333E-5</v>
      </c>
      <c r="K29">
        <v>-1.1811815807067776E-4</v>
      </c>
      <c r="L29">
        <v>1.1075220689609651E-5</v>
      </c>
      <c r="M29">
        <v>-1.8829145081964284E-4</v>
      </c>
      <c r="N29">
        <v>1.0532427520007126E-3</v>
      </c>
      <c r="O29">
        <v>7.5319129936459784E-4</v>
      </c>
      <c r="P29">
        <v>7.2373494921241783E-4</v>
      </c>
      <c r="Q29">
        <v>5.6193521275156426E-4</v>
      </c>
      <c r="R29">
        <v>5.358994147007522E-4</v>
      </c>
      <c r="S29">
        <v>4.9786495609000338E-4</v>
      </c>
      <c r="T29">
        <v>4.9662615422145517E-4</v>
      </c>
      <c r="U29">
        <v>7.2396155738155266E-4</v>
      </c>
      <c r="V29">
        <v>7.8678440231056779E-4</v>
      </c>
      <c r="W29">
        <v>7.8061632887042724E-4</v>
      </c>
      <c r="X29">
        <v>7.5330486200408508E-4</v>
      </c>
      <c r="Y29">
        <v>-1.44782473730899E-5</v>
      </c>
      <c r="Z29">
        <v>5.6570712257434221E-5</v>
      </c>
      <c r="AA29">
        <v>-4.4723707751019831E-5</v>
      </c>
      <c r="AB29">
        <v>6.7035997131727047E-4</v>
      </c>
      <c r="AC29">
        <v>6.4744268638244049E-4</v>
      </c>
      <c r="AD29">
        <v>4.0310681515771142E-3</v>
      </c>
      <c r="AE29">
        <v>-2.7185249879751083E-4</v>
      </c>
    </row>
    <row r="30" spans="1:31" x14ac:dyDescent="0.2">
      <c r="A30" t="s">
        <v>32</v>
      </c>
      <c r="B30">
        <v>2.1813489672829425</v>
      </c>
      <c r="C30">
        <v>-1.0394015171186336E-3</v>
      </c>
      <c r="D30">
        <v>-7.7764391810534106E-4</v>
      </c>
      <c r="E30">
        <v>8.9158206832680461E-6</v>
      </c>
      <c r="F30">
        <v>9.920297653683019E-4</v>
      </c>
      <c r="G30">
        <v>-1.7770262701250037E-4</v>
      </c>
      <c r="H30">
        <v>5.5211871198976173E-4</v>
      </c>
      <c r="I30">
        <v>-1.7721255266409277E-3</v>
      </c>
      <c r="J30">
        <v>-2.4294698537367745E-3</v>
      </c>
      <c r="K30">
        <v>-4.5658149884034551E-4</v>
      </c>
      <c r="L30">
        <v>-1.0217551990015307E-4</v>
      </c>
      <c r="M30">
        <v>-8.018492066107464E-4</v>
      </c>
      <c r="N30">
        <v>-4.2570894871868268E-3</v>
      </c>
      <c r="O30">
        <v>-2.4542278416741555E-3</v>
      </c>
      <c r="P30">
        <v>-2.4034062822548222E-3</v>
      </c>
      <c r="Q30">
        <v>-2.2222198181616757E-3</v>
      </c>
      <c r="R30">
        <v>-2.393241562085922E-3</v>
      </c>
      <c r="S30">
        <v>-2.5746408895306301E-3</v>
      </c>
      <c r="T30">
        <v>-3.2075575297997403E-3</v>
      </c>
      <c r="U30">
        <v>-3.2389985641306067E-3</v>
      </c>
      <c r="V30">
        <v>-2.0397632805032335E-3</v>
      </c>
      <c r="W30">
        <v>-2.5822634587404532E-3</v>
      </c>
      <c r="X30">
        <v>-1.7869744446669198E-3</v>
      </c>
      <c r="Y30">
        <v>-3.2435990444249624E-4</v>
      </c>
      <c r="Z30">
        <v>8.8784809034039673E-4</v>
      </c>
      <c r="AA30">
        <v>1.2270838558350785E-3</v>
      </c>
      <c r="AB30">
        <v>-1.541388434523251E-3</v>
      </c>
      <c r="AC30">
        <v>-7.4039847103821404E-4</v>
      </c>
      <c r="AD30">
        <v>-2.7185249879751083E-4</v>
      </c>
      <c r="AE30">
        <v>2.359990216526351E-2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3"/>
  <sheetViews>
    <sheetView workbookViewId="0">
      <selection activeCell="B43" sqref="B43"/>
    </sheetView>
  </sheetViews>
  <sheetFormatPr baseColWidth="10" defaultColWidth="8.83203125" defaultRowHeight="15" x14ac:dyDescent="0.2"/>
  <sheetData>
    <row r="1" spans="1:3" x14ac:dyDescent="0.2">
      <c r="A1" s="186" t="s">
        <v>54</v>
      </c>
      <c r="B1" s="187" t="s">
        <v>17</v>
      </c>
      <c r="C1" s="188" t="s">
        <v>18</v>
      </c>
    </row>
    <row r="2" spans="1:3" x14ac:dyDescent="0.2">
      <c r="A2" s="189" t="s">
        <v>45</v>
      </c>
      <c r="B2" s="190" t="s">
        <v>72</v>
      </c>
      <c r="C2" s="191">
        <v>-0.70269445766594751</v>
      </c>
    </row>
    <row r="3" spans="1:3" x14ac:dyDescent="0.2">
      <c r="A3" s="192" t="s">
        <v>45</v>
      </c>
      <c r="B3" s="193" t="s">
        <v>73</v>
      </c>
      <c r="C3" s="194">
        <v>0.7021865775689643</v>
      </c>
    </row>
    <row r="4" spans="1:3" x14ac:dyDescent="0.2">
      <c r="A4" s="195" t="s">
        <v>45</v>
      </c>
      <c r="B4" s="196" t="s">
        <v>74</v>
      </c>
      <c r="C4" s="197">
        <v>-9.1555150716159557E-3</v>
      </c>
    </row>
    <row r="5" spans="1:3" x14ac:dyDescent="0.2">
      <c r="A5" s="198" t="s">
        <v>45</v>
      </c>
      <c r="B5" s="199" t="s">
        <v>76</v>
      </c>
      <c r="C5" s="200">
        <v>-0.36235547326872475</v>
      </c>
    </row>
    <row r="6" spans="1:3" x14ac:dyDescent="0.2">
      <c r="A6" s="201" t="s">
        <v>45</v>
      </c>
      <c r="B6" s="202" t="s">
        <v>77</v>
      </c>
      <c r="C6" s="203">
        <v>-1.1278755901799129</v>
      </c>
    </row>
    <row r="7" spans="1:3" x14ac:dyDescent="0.2">
      <c r="A7" s="204" t="s">
        <v>45</v>
      </c>
      <c r="B7" s="205" t="s">
        <v>82</v>
      </c>
      <c r="C7" s="206">
        <v>-0.34052897374964242</v>
      </c>
    </row>
    <row r="8" spans="1:3" x14ac:dyDescent="0.2">
      <c r="A8" s="207" t="s">
        <v>45</v>
      </c>
      <c r="B8" s="208" t="s">
        <v>83</v>
      </c>
      <c r="C8" s="209">
        <v>-0.2058281598373842</v>
      </c>
    </row>
    <row r="9" spans="1:3" x14ac:dyDescent="0.2">
      <c r="A9" s="210" t="s">
        <v>45</v>
      </c>
      <c r="B9" s="211" t="s">
        <v>84</v>
      </c>
      <c r="C9" s="212">
        <v>0.28530113479258173</v>
      </c>
    </row>
    <row r="10" spans="1:3" x14ac:dyDescent="0.2">
      <c r="A10" s="213" t="s">
        <v>45</v>
      </c>
      <c r="B10" s="214" t="s">
        <v>85</v>
      </c>
      <c r="C10" s="215">
        <v>7.2134082402282695E-2</v>
      </c>
    </row>
    <row r="11" spans="1:3" x14ac:dyDescent="0.2">
      <c r="A11" s="216" t="s">
        <v>45</v>
      </c>
      <c r="B11" s="217" t="s">
        <v>86</v>
      </c>
      <c r="C11" s="218">
        <v>1.6402789873566366E-3</v>
      </c>
    </row>
    <row r="12" spans="1:3" x14ac:dyDescent="0.2">
      <c r="A12" s="219" t="s">
        <v>45</v>
      </c>
      <c r="B12" s="220" t="s">
        <v>87</v>
      </c>
      <c r="C12" s="221">
        <v>9.3481552336863019E-2</v>
      </c>
    </row>
    <row r="13" spans="1:3" x14ac:dyDescent="0.2">
      <c r="A13" s="222" t="s">
        <v>45</v>
      </c>
      <c r="B13" s="223" t="s">
        <v>88</v>
      </c>
      <c r="C13" s="224">
        <v>0.12025768533834048</v>
      </c>
    </row>
    <row r="14" spans="1:3" x14ac:dyDescent="0.2">
      <c r="A14" s="225" t="s">
        <v>45</v>
      </c>
      <c r="B14" s="226" t="s">
        <v>89</v>
      </c>
      <c r="C14" s="227">
        <v>-0.18487126222746433</v>
      </c>
    </row>
    <row r="15" spans="1:3" x14ac:dyDescent="0.2">
      <c r="A15" s="228" t="s">
        <v>45</v>
      </c>
      <c r="B15" s="229" t="s">
        <v>90</v>
      </c>
      <c r="C15" s="230">
        <v>-0.21853624108533759</v>
      </c>
    </row>
    <row r="16" spans="1:3" x14ac:dyDescent="0.2">
      <c r="A16" s="231" t="s">
        <v>45</v>
      </c>
      <c r="B16" s="232" t="s">
        <v>91</v>
      </c>
      <c r="C16" s="233">
        <v>0.64321632479633362</v>
      </c>
    </row>
    <row r="17" spans="1:3" x14ac:dyDescent="0.2">
      <c r="A17" s="234" t="s">
        <v>45</v>
      </c>
      <c r="B17" s="235" t="s">
        <v>92</v>
      </c>
      <c r="C17" s="236">
        <v>-0.74273764434959522</v>
      </c>
    </row>
    <row r="18" spans="1:3" x14ac:dyDescent="0.2">
      <c r="A18" s="237" t="s">
        <v>45</v>
      </c>
      <c r="B18" s="238" t="s">
        <v>132</v>
      </c>
      <c r="C18" s="239">
        <v>-4.3988276084517601E-2</v>
      </c>
    </row>
    <row r="19" spans="1:3" x14ac:dyDescent="0.2">
      <c r="A19" s="240" t="s">
        <v>45</v>
      </c>
      <c r="B19" s="241" t="s">
        <v>93</v>
      </c>
      <c r="C19" s="242">
        <v>-4.5405195870811474E-2</v>
      </c>
    </row>
    <row r="20" spans="1:3" x14ac:dyDescent="0.2">
      <c r="A20" s="243" t="s">
        <v>45</v>
      </c>
      <c r="B20" s="244" t="s">
        <v>94</v>
      </c>
      <c r="C20" s="245">
        <v>-7.4294877842719384E-3</v>
      </c>
    </row>
    <row r="21" spans="1:3" x14ac:dyDescent="0.2">
      <c r="A21" s="246" t="s">
        <v>45</v>
      </c>
      <c r="B21" s="247" t="s">
        <v>95</v>
      </c>
      <c r="C21" s="248">
        <v>0.45087035665425657</v>
      </c>
    </row>
    <row r="22" spans="1:3" x14ac:dyDescent="0.2">
      <c r="A22" s="249" t="s">
        <v>45</v>
      </c>
      <c r="B22" s="250" t="s">
        <v>96</v>
      </c>
      <c r="C22" s="251">
        <v>-0.861596101506236</v>
      </c>
    </row>
    <row r="23" spans="1:3" x14ac:dyDescent="0.2">
      <c r="A23" s="252" t="s">
        <v>45</v>
      </c>
      <c r="B23" s="253" t="s">
        <v>97</v>
      </c>
      <c r="C23" s="254">
        <v>-0.16428306254050323</v>
      </c>
    </row>
    <row r="24" spans="1:3" x14ac:dyDescent="0.2">
      <c r="A24" s="255" t="s">
        <v>45</v>
      </c>
      <c r="B24" s="256" t="s">
        <v>53</v>
      </c>
      <c r="C24" s="257">
        <v>-5.284505865695162</v>
      </c>
    </row>
    <row r="25" spans="1:3" x14ac:dyDescent="0.2">
      <c r="A25" s="258" t="s">
        <v>46</v>
      </c>
      <c r="B25" s="259" t="s">
        <v>72</v>
      </c>
      <c r="C25" s="260">
        <v>8.7228707549441842E-2</v>
      </c>
    </row>
    <row r="26" spans="1:3" x14ac:dyDescent="0.2">
      <c r="A26" s="261" t="s">
        <v>46</v>
      </c>
      <c r="B26" s="262" t="s">
        <v>73</v>
      </c>
      <c r="C26" s="263">
        <v>1.1147671940833528</v>
      </c>
    </row>
    <row r="27" spans="1:3" x14ac:dyDescent="0.2">
      <c r="A27" s="264" t="s">
        <v>46</v>
      </c>
      <c r="B27" s="265" t="s">
        <v>74</v>
      </c>
      <c r="C27" s="266">
        <v>-1.4490874588703895E-2</v>
      </c>
    </row>
    <row r="28" spans="1:3" x14ac:dyDescent="0.2">
      <c r="A28" s="267" t="s">
        <v>46</v>
      </c>
      <c r="B28" s="268" t="s">
        <v>76</v>
      </c>
      <c r="C28" s="269">
        <v>-0.36235547326872475</v>
      </c>
    </row>
    <row r="29" spans="1:3" x14ac:dyDescent="0.2">
      <c r="A29" s="270" t="s">
        <v>46</v>
      </c>
      <c r="B29" s="271" t="s">
        <v>77</v>
      </c>
      <c r="C29" s="272">
        <v>-1.1278755901799129</v>
      </c>
    </row>
    <row r="30" spans="1:3" x14ac:dyDescent="0.2">
      <c r="A30" s="273" t="s">
        <v>46</v>
      </c>
      <c r="B30" s="274" t="s">
        <v>82</v>
      </c>
      <c r="C30" s="275">
        <v>-0.34052897374964242</v>
      </c>
    </row>
    <row r="31" spans="1:3" x14ac:dyDescent="0.2">
      <c r="A31" s="276" t="s">
        <v>46</v>
      </c>
      <c r="B31" s="277" t="s">
        <v>83</v>
      </c>
      <c r="C31" s="278">
        <v>-0.2058281598373842</v>
      </c>
    </row>
    <row r="32" spans="1:3" x14ac:dyDescent="0.2">
      <c r="A32" s="279" t="s">
        <v>46</v>
      </c>
      <c r="B32" s="280" t="s">
        <v>84</v>
      </c>
      <c r="C32" s="281">
        <v>-0.46286116847873859</v>
      </c>
    </row>
    <row r="33" spans="1:3" x14ac:dyDescent="0.2">
      <c r="A33" s="282" t="s">
        <v>46</v>
      </c>
      <c r="B33" s="283" t="s">
        <v>85</v>
      </c>
      <c r="C33" s="284">
        <v>7.2134082402282695E-2</v>
      </c>
    </row>
    <row r="34" spans="1:3" x14ac:dyDescent="0.2">
      <c r="A34" s="285" t="s">
        <v>46</v>
      </c>
      <c r="B34" s="286" t="s">
        <v>86</v>
      </c>
      <c r="C34" s="287">
        <v>1.6402789873566366E-3</v>
      </c>
    </row>
    <row r="35" spans="1:3" x14ac:dyDescent="0.2">
      <c r="A35" s="288" t="s">
        <v>46</v>
      </c>
      <c r="B35" s="289" t="s">
        <v>87</v>
      </c>
      <c r="C35" s="290">
        <v>9.3481552336863019E-2</v>
      </c>
    </row>
    <row r="36" spans="1:3" x14ac:dyDescent="0.2">
      <c r="A36" s="291" t="s">
        <v>46</v>
      </c>
      <c r="B36" s="292" t="s">
        <v>88</v>
      </c>
      <c r="C36" s="293">
        <v>0.12025768533834048</v>
      </c>
    </row>
    <row r="37" spans="1:3" x14ac:dyDescent="0.2">
      <c r="A37" s="294" t="s">
        <v>46</v>
      </c>
      <c r="B37" s="295" t="s">
        <v>89</v>
      </c>
      <c r="C37" s="296">
        <v>-0.18487126222746433</v>
      </c>
    </row>
    <row r="38" spans="1:3" x14ac:dyDescent="0.2">
      <c r="A38" s="297" t="s">
        <v>46</v>
      </c>
      <c r="B38" s="298" t="s">
        <v>90</v>
      </c>
      <c r="C38" s="299">
        <v>-0.21853624108533759</v>
      </c>
    </row>
    <row r="39" spans="1:3" x14ac:dyDescent="0.2">
      <c r="A39" s="300" t="s">
        <v>46</v>
      </c>
      <c r="B39" s="301" t="s">
        <v>91</v>
      </c>
      <c r="C39" s="302">
        <v>-0.69714558168500984</v>
      </c>
    </row>
    <row r="40" spans="1:3" x14ac:dyDescent="0.2">
      <c r="A40" s="303" t="s">
        <v>46</v>
      </c>
      <c r="B40" s="304" t="s">
        <v>92</v>
      </c>
      <c r="C40" s="305">
        <v>-8.350987592658568E-2</v>
      </c>
    </row>
    <row r="41" spans="1:3" x14ac:dyDescent="0.2">
      <c r="A41" s="306" t="s">
        <v>46</v>
      </c>
      <c r="B41" s="307" t="s">
        <v>132</v>
      </c>
      <c r="C41" s="308">
        <v>2.4101308431316013E-2</v>
      </c>
    </row>
    <row r="42" spans="1:3" x14ac:dyDescent="0.2">
      <c r="A42" s="309" t="s">
        <v>46</v>
      </c>
      <c r="B42" s="310" t="s">
        <v>93</v>
      </c>
      <c r="C42" s="311">
        <v>-4.5405195870811474E-2</v>
      </c>
    </row>
    <row r="43" spans="1:3" x14ac:dyDescent="0.2">
      <c r="A43" s="312" t="s">
        <v>46</v>
      </c>
      <c r="B43" s="313" t="s">
        <v>94</v>
      </c>
      <c r="C43" s="314">
        <v>-7.4294877842719384E-3</v>
      </c>
    </row>
    <row r="44" spans="1:3" x14ac:dyDescent="0.2">
      <c r="A44" s="315" t="s">
        <v>46</v>
      </c>
      <c r="B44" s="316" t="s">
        <v>95</v>
      </c>
      <c r="C44" s="317">
        <v>0.45087035665425657</v>
      </c>
    </row>
    <row r="45" spans="1:3" x14ac:dyDescent="0.2">
      <c r="A45" s="318" t="s">
        <v>46</v>
      </c>
      <c r="B45" s="319" t="s">
        <v>96</v>
      </c>
      <c r="C45" s="320">
        <v>-0.861596101506236</v>
      </c>
    </row>
    <row r="46" spans="1:3" x14ac:dyDescent="0.2">
      <c r="A46" s="321" t="s">
        <v>46</v>
      </c>
      <c r="B46" s="322" t="s">
        <v>97</v>
      </c>
      <c r="C46" s="323">
        <v>-0.16428306254050323</v>
      </c>
    </row>
    <row r="47" spans="1:3" x14ac:dyDescent="0.2">
      <c r="A47" s="324" t="s">
        <v>46</v>
      </c>
      <c r="B47" s="325" t="s">
        <v>53</v>
      </c>
      <c r="C47" s="326">
        <v>-17.698016356937142</v>
      </c>
    </row>
    <row r="48" spans="1:3" x14ac:dyDescent="0.2">
      <c r="A48" s="2" t="s">
        <v>46</v>
      </c>
      <c r="B48" s="3" t="s">
        <v>30</v>
      </c>
      <c r="C48" s="4">
        <v>-4.0877017807322266E-2</v>
      </c>
    </row>
    <row r="49" spans="1:3" x14ac:dyDescent="0.2">
      <c r="A49" s="5" t="s">
        <v>46</v>
      </c>
      <c r="B49" s="6" t="s">
        <v>31</v>
      </c>
      <c r="C49" s="7">
        <v>-5.6279207459274359E-3</v>
      </c>
    </row>
    <row r="50" spans="1:3" x14ac:dyDescent="0.2">
      <c r="A50" s="8" t="s">
        <v>46</v>
      </c>
      <c r="B50" s="9" t="s">
        <v>95</v>
      </c>
      <c r="C50" s="10">
        <v>0.44084397986492441</v>
      </c>
    </row>
    <row r="51" spans="1:3" x14ac:dyDescent="0.2">
      <c r="A51" s="11" t="s">
        <v>46</v>
      </c>
      <c r="B51" s="12" t="s">
        <v>96</v>
      </c>
      <c r="C51" s="13">
        <v>-0.91700617292412867</v>
      </c>
    </row>
    <row r="52" spans="1:3" x14ac:dyDescent="0.2">
      <c r="A52" s="14" t="s">
        <v>46</v>
      </c>
      <c r="B52" s="15" t="s">
        <v>97</v>
      </c>
      <c r="C52" s="16">
        <v>-0.15435353928534731</v>
      </c>
    </row>
    <row r="53" spans="1:3" x14ac:dyDescent="0.2">
      <c r="A53" s="17" t="s">
        <v>46</v>
      </c>
      <c r="B53" s="18" t="s">
        <v>53</v>
      </c>
      <c r="C53" s="19">
        <v>-17.742275710196967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2"/>
  <sheetViews>
    <sheetView tabSelected="1" workbookViewId="0">
      <selection activeCell="A31" sqref="A31"/>
    </sheetView>
  </sheetViews>
  <sheetFormatPr baseColWidth="10" defaultColWidth="8.83203125" defaultRowHeight="15" x14ac:dyDescent="0.2"/>
  <sheetData>
    <row r="1" spans="1:33" x14ac:dyDescent="0.2">
      <c r="A1" t="s">
        <v>17</v>
      </c>
      <c r="B1" t="s">
        <v>18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111</v>
      </c>
      <c r="I1" t="s">
        <v>112</v>
      </c>
      <c r="J1" t="s">
        <v>104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105</v>
      </c>
      <c r="R1" t="s">
        <v>106</v>
      </c>
      <c r="S1" t="s">
        <v>133</v>
      </c>
      <c r="T1" t="s">
        <v>127</v>
      </c>
      <c r="U1" t="s">
        <v>128</v>
      </c>
      <c r="V1" t="s">
        <v>119</v>
      </c>
      <c r="W1" t="s">
        <v>120</v>
      </c>
      <c r="X1" t="s">
        <v>121</v>
      </c>
      <c r="Y1" t="s">
        <v>63</v>
      </c>
      <c r="Z1" t="s">
        <v>129</v>
      </c>
      <c r="AA1" t="s">
        <v>130</v>
      </c>
      <c r="AB1" t="s">
        <v>131</v>
      </c>
      <c r="AC1" t="s">
        <v>107</v>
      </c>
      <c r="AD1" t="s">
        <v>108</v>
      </c>
      <c r="AE1" t="s">
        <v>109</v>
      </c>
      <c r="AF1" t="s">
        <v>134</v>
      </c>
      <c r="AG1" t="s">
        <v>68</v>
      </c>
    </row>
    <row r="2" spans="1:33" x14ac:dyDescent="0.2">
      <c r="A2" t="s">
        <v>122</v>
      </c>
      <c r="B2">
        <v>-0.70269445766594751</v>
      </c>
      <c r="C2">
        <v>3.220840156714589E-2</v>
      </c>
      <c r="D2">
        <v>2.7407987180573319E-3</v>
      </c>
      <c r="E2">
        <v>-3.1163250421334148E-5</v>
      </c>
      <c r="F2">
        <v>4.9847786988004722E-4</v>
      </c>
      <c r="G2">
        <v>2.7391043344462602E-3</v>
      </c>
      <c r="H2">
        <v>3.1834865874181429E-3</v>
      </c>
      <c r="I2">
        <v>4.9504868371579693E-3</v>
      </c>
      <c r="J2">
        <v>-1.4791833736164347E-3</v>
      </c>
      <c r="K2">
        <v>1.7945406371487351E-3</v>
      </c>
      <c r="L2">
        <v>2.331515055518403E-3</v>
      </c>
      <c r="M2">
        <v>1.6109724458773344E-3</v>
      </c>
      <c r="N2">
        <v>-1.1145023880994649E-4</v>
      </c>
      <c r="O2">
        <v>3.3125687514082322E-3</v>
      </c>
      <c r="P2">
        <v>1.7907142213042316E-3</v>
      </c>
      <c r="Q2">
        <v>5.4557068510348826E-4</v>
      </c>
      <c r="R2">
        <v>-1.4972688739057257E-3</v>
      </c>
      <c r="S2">
        <v>6.0184678145135389E-4</v>
      </c>
      <c r="T2">
        <v>-3.5635570275060393E-3</v>
      </c>
      <c r="U2">
        <v>9.8041816356309367E-4</v>
      </c>
      <c r="V2">
        <v>-4.5977164182410215E-4</v>
      </c>
      <c r="W2">
        <v>2.5485860294321458E-3</v>
      </c>
      <c r="X2">
        <v>3.7386249766737066E-3</v>
      </c>
      <c r="Y2">
        <v>-7.2169175496015092E-2</v>
      </c>
      <c r="Z2">
        <v>1.2960660401075705E-3</v>
      </c>
      <c r="AA2">
        <v>1.4108071032041097E-4</v>
      </c>
      <c r="AB2">
        <v>-2.2392802154557493E-6</v>
      </c>
      <c r="AC2">
        <v>1.6214221365740452E-3</v>
      </c>
      <c r="AD2">
        <v>2.0130624537355603E-3</v>
      </c>
      <c r="AE2">
        <v>1.9343270430958359E-3</v>
      </c>
      <c r="AF2">
        <v>2.4415076032832959E-5</v>
      </c>
      <c r="AG2">
        <v>-5.4443405875344401E-3</v>
      </c>
    </row>
    <row r="3" spans="1:33" x14ac:dyDescent="0.2">
      <c r="A3" t="s">
        <v>123</v>
      </c>
      <c r="B3">
        <v>0.7021865775689643</v>
      </c>
      <c r="C3">
        <v>2.7407987180573319E-3</v>
      </c>
      <c r="D3">
        <v>8.7989685221392319E-3</v>
      </c>
      <c r="E3">
        <v>-1.178198405332063E-4</v>
      </c>
      <c r="F3">
        <v>3.6402862147198354E-4</v>
      </c>
      <c r="G3">
        <v>1.9347580291513031E-3</v>
      </c>
      <c r="H3">
        <v>-2.8778367605843298E-4</v>
      </c>
      <c r="I3">
        <v>2.7231582552296484E-3</v>
      </c>
      <c r="J3">
        <v>1.1639781942316503E-3</v>
      </c>
      <c r="K3">
        <v>5.9761461968066898E-4</v>
      </c>
      <c r="L3">
        <v>8.3061412013676742E-4</v>
      </c>
      <c r="M3">
        <v>8.4027757429648272E-4</v>
      </c>
      <c r="N3">
        <v>4.8447730413671633E-4</v>
      </c>
      <c r="O3">
        <v>8.1410182062711467E-4</v>
      </c>
      <c r="P3">
        <v>9.4892191053003866E-4</v>
      </c>
      <c r="Q3">
        <v>1.7837676242999081E-3</v>
      </c>
      <c r="R3">
        <v>-3.057793669508983E-3</v>
      </c>
      <c r="S3">
        <v>-1.1293611947150615E-4</v>
      </c>
      <c r="T3">
        <v>-4.1795841370042815E-4</v>
      </c>
      <c r="U3">
        <v>-3.4500397645742195E-4</v>
      </c>
      <c r="V3">
        <v>-1.3589635028095305E-3</v>
      </c>
      <c r="W3">
        <v>-1.6498625290695679E-3</v>
      </c>
      <c r="X3">
        <v>-1.4050920012601703E-3</v>
      </c>
      <c r="Y3">
        <v>-0.1229340392232359</v>
      </c>
      <c r="Z3">
        <v>3.049743690001957E-4</v>
      </c>
      <c r="AA3">
        <v>9.84399015309694E-4</v>
      </c>
      <c r="AB3">
        <v>-1.2080897994598894E-5</v>
      </c>
      <c r="AC3">
        <v>9.3142601437858769E-5</v>
      </c>
      <c r="AD3">
        <v>2.7485496307928185E-5</v>
      </c>
      <c r="AE3">
        <v>5.4043502212238088E-5</v>
      </c>
      <c r="AF3">
        <v>5.283096314924636E-5</v>
      </c>
      <c r="AG3">
        <v>-1.6776751799182268E-2</v>
      </c>
    </row>
    <row r="4" spans="1:33" x14ac:dyDescent="0.2">
      <c r="A4" t="s">
        <v>124</v>
      </c>
      <c r="B4">
        <v>-9.1555150716159557E-3</v>
      </c>
      <c r="C4">
        <v>-3.1163250421334148E-5</v>
      </c>
      <c r="D4">
        <v>-1.178198405332063E-4</v>
      </c>
      <c r="E4">
        <v>1.620716148762866E-6</v>
      </c>
      <c r="F4">
        <v>-4.7931047886826644E-6</v>
      </c>
      <c r="G4">
        <v>-2.6042617495801249E-5</v>
      </c>
      <c r="H4">
        <v>4.8303738083498469E-6</v>
      </c>
      <c r="I4">
        <v>-3.4483674470441698E-5</v>
      </c>
      <c r="J4">
        <v>-1.4655702328193723E-5</v>
      </c>
      <c r="K4">
        <v>-6.869725361063594E-6</v>
      </c>
      <c r="L4">
        <v>-8.3008942692763791E-6</v>
      </c>
      <c r="M4">
        <v>-9.7908581673204556E-6</v>
      </c>
      <c r="N4">
        <v>-5.7120079480039278E-6</v>
      </c>
      <c r="O4">
        <v>-1.0545460686465905E-5</v>
      </c>
      <c r="P4">
        <v>-1.4084719169718788E-5</v>
      </c>
      <c r="Q4">
        <v>-2.9908499420554979E-5</v>
      </c>
      <c r="R4">
        <v>4.1880505346573471E-5</v>
      </c>
      <c r="S4">
        <v>1.3630680882970638E-6</v>
      </c>
      <c r="T4">
        <v>2.9598749007747046E-6</v>
      </c>
      <c r="U4">
        <v>7.7349166830915735E-6</v>
      </c>
      <c r="V4">
        <v>2.0662263900604839E-5</v>
      </c>
      <c r="W4">
        <v>2.0133772340701717E-5</v>
      </c>
      <c r="X4">
        <v>1.8507136605136702E-5</v>
      </c>
      <c r="Y4">
        <v>1.6276532410102222E-3</v>
      </c>
      <c r="Z4">
        <v>-3.8907544889419279E-6</v>
      </c>
      <c r="AA4">
        <v>-1.266066467340291E-5</v>
      </c>
      <c r="AB4">
        <v>1.6013524068278764E-7</v>
      </c>
      <c r="AC4">
        <v>-1.4683670928569939E-6</v>
      </c>
      <c r="AD4">
        <v>-2.7693450889420344E-7</v>
      </c>
      <c r="AE4">
        <v>-1.9349662563185679E-7</v>
      </c>
      <c r="AF4">
        <v>-7.3495469649284584E-7</v>
      </c>
      <c r="AG4">
        <v>2.1417811935791947E-4</v>
      </c>
    </row>
    <row r="5" spans="1:33" x14ac:dyDescent="0.2">
      <c r="A5" t="s">
        <v>125</v>
      </c>
      <c r="B5">
        <v>-0.36235547326872475</v>
      </c>
      <c r="C5">
        <v>4.9847786988004722E-4</v>
      </c>
      <c r="D5">
        <v>3.6402862147198354E-4</v>
      </c>
      <c r="E5">
        <v>-4.7931047886826644E-6</v>
      </c>
      <c r="F5">
        <v>1.0296422640033137E-2</v>
      </c>
      <c r="G5">
        <v>8.1790532425971424E-3</v>
      </c>
      <c r="H5">
        <v>-1.6163781551010521E-3</v>
      </c>
      <c r="I5">
        <v>-1.5508914584446169E-3</v>
      </c>
      <c r="J5">
        <v>-1.1240082944108023E-3</v>
      </c>
      <c r="K5">
        <v>-1.483115296971785E-3</v>
      </c>
      <c r="L5">
        <v>-1.8475610862692914E-3</v>
      </c>
      <c r="M5">
        <v>-1.3938392052734207E-3</v>
      </c>
      <c r="N5">
        <v>-2.4696333038016168E-3</v>
      </c>
      <c r="O5">
        <v>-1.7372613015515966E-3</v>
      </c>
      <c r="P5">
        <v>-1.7463059030282889E-3</v>
      </c>
      <c r="Q5">
        <v>-3.4934466707548482E-4</v>
      </c>
      <c r="R5">
        <v>-1.7154973084747647E-3</v>
      </c>
      <c r="S5">
        <v>-1.431546828387674E-4</v>
      </c>
      <c r="T5">
        <v>8.8219716910799891E-4</v>
      </c>
      <c r="U5">
        <v>8.6466650156599375E-4</v>
      </c>
      <c r="V5">
        <v>-4.4321677146953904E-6</v>
      </c>
      <c r="W5">
        <v>5.7092530345528099E-4</v>
      </c>
      <c r="X5">
        <v>1.3621918010558128E-3</v>
      </c>
      <c r="Y5">
        <v>-1.0245655803689642E-2</v>
      </c>
      <c r="Z5">
        <v>2.0840632631613379E-4</v>
      </c>
      <c r="AA5">
        <v>1.6125756145748222E-4</v>
      </c>
      <c r="AB5">
        <v>-2.1310124880036566E-6</v>
      </c>
      <c r="AC5">
        <v>-2.6049744255338047E-3</v>
      </c>
      <c r="AD5">
        <v>-1.0513495656048534E-3</v>
      </c>
      <c r="AE5">
        <v>-2.2312664743924949E-3</v>
      </c>
      <c r="AF5">
        <v>1.1258851767712453E-4</v>
      </c>
      <c r="AG5">
        <v>-1.0833100296768844E-2</v>
      </c>
    </row>
    <row r="6" spans="1:33" x14ac:dyDescent="0.2">
      <c r="A6" t="s">
        <v>126</v>
      </c>
      <c r="B6">
        <v>-1.1278755901799129</v>
      </c>
      <c r="C6">
        <v>2.7391043344462602E-3</v>
      </c>
      <c r="D6">
        <v>1.9347580291513031E-3</v>
      </c>
      <c r="E6">
        <v>-2.6042617495801249E-5</v>
      </c>
      <c r="F6">
        <v>8.1790532425971424E-3</v>
      </c>
      <c r="G6">
        <v>2.0066296664789551E-2</v>
      </c>
      <c r="H6">
        <v>-4.5136254406859689E-3</v>
      </c>
      <c r="I6">
        <v>-1.5312244981160888E-3</v>
      </c>
      <c r="J6">
        <v>-3.9665073322962888E-3</v>
      </c>
      <c r="K6">
        <v>-4.4304324305259289E-3</v>
      </c>
      <c r="L6">
        <v>-3.4544642114072771E-3</v>
      </c>
      <c r="M6">
        <v>-3.0880821388421555E-3</v>
      </c>
      <c r="N6">
        <v>-4.6784209633435629E-3</v>
      </c>
      <c r="O6">
        <v>-3.2732261501647797E-3</v>
      </c>
      <c r="P6">
        <v>-2.3100351698170539E-3</v>
      </c>
      <c r="Q6">
        <v>-4.3231812487450338E-3</v>
      </c>
      <c r="R6">
        <v>-5.5637218132441159E-3</v>
      </c>
      <c r="S6">
        <v>2.453155688640589E-4</v>
      </c>
      <c r="T6">
        <v>1.4314191636055069E-3</v>
      </c>
      <c r="U6">
        <v>-8.831417649525909E-6</v>
      </c>
      <c r="V6">
        <v>-3.9281473080655981E-3</v>
      </c>
      <c r="W6">
        <v>-3.1815206278808859E-3</v>
      </c>
      <c r="X6">
        <v>1.8775371567361042E-3</v>
      </c>
      <c r="Y6">
        <v>-3.9504381489285624E-2</v>
      </c>
      <c r="Z6">
        <v>5.8251317795822248E-4</v>
      </c>
      <c r="AA6">
        <v>7.4526141838334153E-5</v>
      </c>
      <c r="AB6">
        <v>-3.8387188934520166E-6</v>
      </c>
      <c r="AC6">
        <v>-3.3271849165539972E-3</v>
      </c>
      <c r="AD6">
        <v>-3.1326169340320925E-3</v>
      </c>
      <c r="AE6">
        <v>-5.0464726281349665E-3</v>
      </c>
      <c r="AF6">
        <v>1.7632230860160626E-4</v>
      </c>
      <c r="AG6">
        <v>-7.7013362123726919E-3</v>
      </c>
    </row>
    <row r="7" spans="1:33" x14ac:dyDescent="0.2">
      <c r="A7" t="s">
        <v>111</v>
      </c>
      <c r="B7">
        <v>-0.34052897374964242</v>
      </c>
      <c r="C7">
        <v>3.1834865874181429E-3</v>
      </c>
      <c r="D7">
        <v>-2.8778367605843298E-4</v>
      </c>
      <c r="E7">
        <v>4.8303738083498469E-6</v>
      </c>
      <c r="F7">
        <v>-1.6163781551010521E-3</v>
      </c>
      <c r="G7">
        <v>-4.5136254406859689E-3</v>
      </c>
      <c r="H7">
        <v>5.7626219789449172E-2</v>
      </c>
      <c r="I7">
        <v>2.2777250771823583E-2</v>
      </c>
      <c r="J7">
        <v>2.5194996981893959E-2</v>
      </c>
      <c r="K7">
        <v>2.3695861371369635E-2</v>
      </c>
      <c r="L7">
        <v>2.2336606442962089E-2</v>
      </c>
      <c r="M7">
        <v>2.3010910269323524E-2</v>
      </c>
      <c r="N7">
        <v>2.308063802194946E-2</v>
      </c>
      <c r="O7">
        <v>2.3579557846384783E-2</v>
      </c>
      <c r="P7">
        <v>2.4069596929519075E-2</v>
      </c>
      <c r="Q7">
        <v>2.5488071763919286E-2</v>
      </c>
      <c r="R7">
        <v>2.6061251610079793E-2</v>
      </c>
      <c r="S7">
        <v>-3.1298881182870869E-4</v>
      </c>
      <c r="T7">
        <v>-2.9879194133631995E-3</v>
      </c>
      <c r="U7">
        <v>-8.6396307588117107E-4</v>
      </c>
      <c r="V7">
        <v>8.7728127257238626E-3</v>
      </c>
      <c r="W7">
        <v>2.1999387819595026E-2</v>
      </c>
      <c r="X7">
        <v>3.9831604709029593E-3</v>
      </c>
      <c r="Y7">
        <v>-1.6334310029905652E-2</v>
      </c>
      <c r="Z7">
        <v>8.6137507454643201E-4</v>
      </c>
      <c r="AA7">
        <v>-1.2833761654785798E-4</v>
      </c>
      <c r="AB7">
        <v>1.420857613472307E-6</v>
      </c>
      <c r="AC7">
        <v>2.1912014956947449E-2</v>
      </c>
      <c r="AD7">
        <v>2.4904118447332806E-2</v>
      </c>
      <c r="AE7">
        <v>2.4085959125737556E-2</v>
      </c>
      <c r="AF7">
        <v>-1.3716259627251154E-4</v>
      </c>
      <c r="AG7">
        <v>-1.7679969802848097E-2</v>
      </c>
    </row>
    <row r="8" spans="1:33" x14ac:dyDescent="0.2">
      <c r="A8" t="s">
        <v>112</v>
      </c>
      <c r="B8">
        <v>-0.2058281598373842</v>
      </c>
      <c r="C8">
        <v>4.9504868371579693E-3</v>
      </c>
      <c r="D8">
        <v>2.7231582552296484E-3</v>
      </c>
      <c r="E8">
        <v>-3.4483674470441698E-5</v>
      </c>
      <c r="F8">
        <v>-1.5508914584446169E-3</v>
      </c>
      <c r="G8">
        <v>-1.5312244981160888E-3</v>
      </c>
      <c r="H8">
        <v>2.2777250771823583E-2</v>
      </c>
      <c r="I8">
        <v>3.6824145565552101E-2</v>
      </c>
      <c r="J8">
        <v>2.320827324581325E-2</v>
      </c>
      <c r="K8">
        <v>2.2715994515364012E-2</v>
      </c>
      <c r="L8">
        <v>2.1764727534020107E-2</v>
      </c>
      <c r="M8">
        <v>2.233029806061396E-2</v>
      </c>
      <c r="N8">
        <v>2.2146718450517557E-2</v>
      </c>
      <c r="O8">
        <v>2.2717850942093887E-2</v>
      </c>
      <c r="P8">
        <v>2.3128880654403761E-2</v>
      </c>
      <c r="Q8">
        <v>2.3344228755703848E-2</v>
      </c>
      <c r="R8">
        <v>2.2989978278085996E-2</v>
      </c>
      <c r="S8">
        <v>1.9607036337508484E-4</v>
      </c>
      <c r="T8">
        <v>-4.3314904218044511E-3</v>
      </c>
      <c r="U8">
        <v>3.9483486936789857E-4</v>
      </c>
      <c r="V8">
        <v>6.1779270524640372E-3</v>
      </c>
      <c r="W8">
        <v>1.9321753470498644E-2</v>
      </c>
      <c r="X8">
        <v>2.6839219539041377E-3</v>
      </c>
      <c r="Y8">
        <v>-6.7088191462231189E-2</v>
      </c>
      <c r="Z8">
        <v>5.9105389600134107E-4</v>
      </c>
      <c r="AA8">
        <v>6.1357704008941152E-5</v>
      </c>
      <c r="AB8">
        <v>-6.8788775005913523E-7</v>
      </c>
      <c r="AC8">
        <v>2.1326067715200341E-2</v>
      </c>
      <c r="AD8">
        <v>2.3931387221926E-2</v>
      </c>
      <c r="AE8">
        <v>2.3012755912504637E-2</v>
      </c>
      <c r="AF8">
        <v>-5.8930448178714633E-5</v>
      </c>
      <c r="AG8">
        <v>-2.1496533131499795E-2</v>
      </c>
    </row>
    <row r="9" spans="1:33" x14ac:dyDescent="0.2">
      <c r="A9" t="s">
        <v>104</v>
      </c>
      <c r="B9">
        <v>0.28530113479258173</v>
      </c>
      <c r="C9">
        <v>-1.4791833736164347E-3</v>
      </c>
      <c r="D9">
        <v>1.1639781942316503E-3</v>
      </c>
      <c r="E9">
        <v>-1.4655702328193723E-5</v>
      </c>
      <c r="F9">
        <v>-1.1240082944108023E-3</v>
      </c>
      <c r="G9">
        <v>-3.9665073322962888E-3</v>
      </c>
      <c r="H9">
        <v>2.5194996981893959E-2</v>
      </c>
      <c r="I9">
        <v>2.320827324581325E-2</v>
      </c>
      <c r="J9">
        <v>0.11288195340744679</v>
      </c>
      <c r="K9">
        <v>2.4452728185080715E-2</v>
      </c>
      <c r="L9">
        <v>2.270775867944063E-2</v>
      </c>
      <c r="M9">
        <v>2.3717680204441406E-2</v>
      </c>
      <c r="N9">
        <v>2.2967922736799085E-2</v>
      </c>
      <c r="O9">
        <v>2.4123851265106199E-2</v>
      </c>
      <c r="P9">
        <v>2.5332995929640601E-2</v>
      </c>
      <c r="Q9">
        <v>3.1860995131851845E-2</v>
      </c>
      <c r="R9">
        <v>3.1869452260732761E-2</v>
      </c>
      <c r="S9">
        <v>-6.7834953556318762E-4</v>
      </c>
      <c r="T9">
        <v>-4.436040539847321E-3</v>
      </c>
      <c r="U9">
        <v>4.2688122761103068E-3</v>
      </c>
      <c r="V9">
        <v>7.4658635210555213E-3</v>
      </c>
      <c r="W9">
        <v>2.251333530444171E-2</v>
      </c>
      <c r="X9">
        <v>4.3090413436590366E-3</v>
      </c>
      <c r="Y9">
        <v>-3.4252743938638183E-2</v>
      </c>
      <c r="Z9">
        <v>2.2630763841458967E-4</v>
      </c>
      <c r="AA9">
        <v>-3.2695558718489996E-5</v>
      </c>
      <c r="AB9">
        <v>2.1261220363804853E-7</v>
      </c>
      <c r="AC9">
        <v>2.3207631603708468E-2</v>
      </c>
      <c r="AD9">
        <v>2.373788606976724E-2</v>
      </c>
      <c r="AE9">
        <v>2.2821582912794694E-2</v>
      </c>
      <c r="AF9">
        <v>-1.2295187321286068E-4</v>
      </c>
      <c r="AG9">
        <v>-1.8593067563739296E-2</v>
      </c>
    </row>
    <row r="10" spans="1:33" x14ac:dyDescent="0.2">
      <c r="A10" t="s">
        <v>113</v>
      </c>
      <c r="B10">
        <v>7.2134082402282695E-2</v>
      </c>
      <c r="C10">
        <v>1.7945406371487351E-3</v>
      </c>
      <c r="D10">
        <v>5.9761461968066898E-4</v>
      </c>
      <c r="E10">
        <v>-6.869725361063594E-6</v>
      </c>
      <c r="F10">
        <v>-1.483115296971785E-3</v>
      </c>
      <c r="G10">
        <v>-4.4304324305259289E-3</v>
      </c>
      <c r="H10">
        <v>2.3695861371369635E-2</v>
      </c>
      <c r="I10">
        <v>2.2715994515364012E-2</v>
      </c>
      <c r="J10">
        <v>2.4452728185080715E-2</v>
      </c>
      <c r="K10">
        <v>3.875614203454144E-2</v>
      </c>
      <c r="L10">
        <v>2.2333698193971751E-2</v>
      </c>
      <c r="M10">
        <v>2.2867728710196426E-2</v>
      </c>
      <c r="N10">
        <v>2.310448829514649E-2</v>
      </c>
      <c r="O10">
        <v>2.3313745503189869E-2</v>
      </c>
      <c r="P10">
        <v>2.3755402325589352E-2</v>
      </c>
      <c r="Q10">
        <v>2.4601817765340581E-2</v>
      </c>
      <c r="R10">
        <v>2.4840267419974586E-2</v>
      </c>
      <c r="S10">
        <v>-2.2897898761873364E-4</v>
      </c>
      <c r="T10">
        <v>-3.9607475608916523E-3</v>
      </c>
      <c r="U10">
        <v>4.030710089769319E-4</v>
      </c>
      <c r="V10">
        <v>7.7529441183357929E-3</v>
      </c>
      <c r="W10">
        <v>2.310951568371112E-2</v>
      </c>
      <c r="X10">
        <v>2.5840761369014457E-3</v>
      </c>
      <c r="Y10">
        <v>-2.8406995865970272E-2</v>
      </c>
      <c r="Z10">
        <v>-3.5956442970488381E-5</v>
      </c>
      <c r="AA10">
        <v>1.5771143463624675E-4</v>
      </c>
      <c r="AB10">
        <v>-1.4978714720951603E-6</v>
      </c>
      <c r="AC10">
        <v>2.1679290271955969E-2</v>
      </c>
      <c r="AD10">
        <v>2.4197919337062192E-2</v>
      </c>
      <c r="AE10">
        <v>2.3686970460125217E-2</v>
      </c>
      <c r="AF10">
        <v>-4.7570896186856964E-5</v>
      </c>
      <c r="AG10">
        <v>-2.332393992921751E-2</v>
      </c>
    </row>
    <row r="11" spans="1:33" x14ac:dyDescent="0.2">
      <c r="A11" t="s">
        <v>114</v>
      </c>
      <c r="B11">
        <v>1.6402789873566366E-3</v>
      </c>
      <c r="C11">
        <v>2.331515055518403E-3</v>
      </c>
      <c r="D11">
        <v>8.3061412013676742E-4</v>
      </c>
      <c r="E11">
        <v>-8.3008942692763791E-6</v>
      </c>
      <c r="F11">
        <v>-1.8475610862692914E-3</v>
      </c>
      <c r="G11">
        <v>-3.4544642114072771E-3</v>
      </c>
      <c r="H11">
        <v>2.2336606442962089E-2</v>
      </c>
      <c r="I11">
        <v>2.1764727534020107E-2</v>
      </c>
      <c r="J11">
        <v>2.270775867944063E-2</v>
      </c>
      <c r="K11">
        <v>2.2333698193971751E-2</v>
      </c>
      <c r="L11">
        <v>3.8298126369155652E-2</v>
      </c>
      <c r="M11">
        <v>2.1893360236303745E-2</v>
      </c>
      <c r="N11">
        <v>2.1654094420751002E-2</v>
      </c>
      <c r="O11">
        <v>2.1973385232574798E-2</v>
      </c>
      <c r="P11">
        <v>2.243680753852886E-2</v>
      </c>
      <c r="Q11">
        <v>2.2720304469992125E-2</v>
      </c>
      <c r="R11">
        <v>2.2776462658415438E-2</v>
      </c>
      <c r="S11">
        <v>-8.8318988613182031E-5</v>
      </c>
      <c r="T11">
        <v>-3.3544490486476222E-3</v>
      </c>
      <c r="U11">
        <v>3.8418634849917031E-3</v>
      </c>
      <c r="V11">
        <v>6.4208839882093525E-3</v>
      </c>
      <c r="W11">
        <v>1.8467932206578455E-2</v>
      </c>
      <c r="X11">
        <v>-5.5090896806536107E-4</v>
      </c>
      <c r="Y11">
        <v>-3.3470050244586255E-2</v>
      </c>
      <c r="Z11">
        <v>4.6634552080649467E-4</v>
      </c>
      <c r="AA11">
        <v>-1.6847281262029595E-4</v>
      </c>
      <c r="AB11">
        <v>3.7202298523012327E-6</v>
      </c>
      <c r="AC11">
        <v>2.0977289592497349E-2</v>
      </c>
      <c r="AD11">
        <v>2.3070292919533358E-2</v>
      </c>
      <c r="AE11">
        <v>2.245835152162224E-2</v>
      </c>
      <c r="AF11">
        <v>-1.8080930099236144E-4</v>
      </c>
      <c r="AG11">
        <v>-1.5789504218052738E-2</v>
      </c>
    </row>
    <row r="12" spans="1:33" x14ac:dyDescent="0.2">
      <c r="A12" t="s">
        <v>115</v>
      </c>
      <c r="B12">
        <v>9.3481552336863019E-2</v>
      </c>
      <c r="C12">
        <v>1.6109724458773344E-3</v>
      </c>
      <c r="D12">
        <v>8.4027757429648272E-4</v>
      </c>
      <c r="E12">
        <v>-9.7908581673204556E-6</v>
      </c>
      <c r="F12">
        <v>-1.3938392052734207E-3</v>
      </c>
      <c r="G12">
        <v>-3.0880821388421555E-3</v>
      </c>
      <c r="H12">
        <v>2.3010910269323524E-2</v>
      </c>
      <c r="I12">
        <v>2.233029806061396E-2</v>
      </c>
      <c r="J12">
        <v>2.3717680204441406E-2</v>
      </c>
      <c r="K12">
        <v>2.2867728710196426E-2</v>
      </c>
      <c r="L12">
        <v>2.1893360236303745E-2</v>
      </c>
      <c r="M12">
        <v>3.6416304640666433E-2</v>
      </c>
      <c r="N12">
        <v>2.2368294127763103E-2</v>
      </c>
      <c r="O12">
        <v>2.2690409858787508E-2</v>
      </c>
      <c r="P12">
        <v>2.3007120981395554E-2</v>
      </c>
      <c r="Q12">
        <v>2.395786757711162E-2</v>
      </c>
      <c r="R12">
        <v>2.3797079850592748E-2</v>
      </c>
      <c r="S12">
        <v>-2.804004440621069E-4</v>
      </c>
      <c r="T12">
        <v>-3.8767029986842162E-3</v>
      </c>
      <c r="U12">
        <v>8.5777956405559035E-4</v>
      </c>
      <c r="V12">
        <v>7.1956577294991358E-3</v>
      </c>
      <c r="W12">
        <v>1.9492461762414735E-2</v>
      </c>
      <c r="X12">
        <v>2.7638341550699792E-3</v>
      </c>
      <c r="Y12">
        <v>-3.0609448497556757E-2</v>
      </c>
      <c r="Z12">
        <v>6.6770001695067374E-4</v>
      </c>
      <c r="AA12">
        <v>1.7645287868079101E-4</v>
      </c>
      <c r="AB12">
        <v>-1.6243863309306218E-6</v>
      </c>
      <c r="AC12">
        <v>2.1202458081175848E-2</v>
      </c>
      <c r="AD12">
        <v>2.3824463031427434E-2</v>
      </c>
      <c r="AE12">
        <v>2.296631368668043E-2</v>
      </c>
      <c r="AF12">
        <v>-1.7285322435253844E-4</v>
      </c>
      <c r="AG12">
        <v>-2.1493979072359379E-2</v>
      </c>
    </row>
    <row r="13" spans="1:33" x14ac:dyDescent="0.2">
      <c r="A13" t="s">
        <v>116</v>
      </c>
      <c r="B13">
        <v>0.12025768533834048</v>
      </c>
      <c r="C13">
        <v>-1.1145023880994649E-4</v>
      </c>
      <c r="D13">
        <v>4.8447730413671633E-4</v>
      </c>
      <c r="E13">
        <v>-5.7120079480039278E-6</v>
      </c>
      <c r="F13">
        <v>-2.4696333038016168E-3</v>
      </c>
      <c r="G13">
        <v>-4.6784209633435629E-3</v>
      </c>
      <c r="H13">
        <v>2.308063802194946E-2</v>
      </c>
      <c r="I13">
        <v>2.2146718450517557E-2</v>
      </c>
      <c r="J13">
        <v>2.2967922736799085E-2</v>
      </c>
      <c r="K13">
        <v>2.310448829514649E-2</v>
      </c>
      <c r="L13">
        <v>2.1654094420751002E-2</v>
      </c>
      <c r="M13">
        <v>2.2368294127763103E-2</v>
      </c>
      <c r="N13">
        <v>3.3999513923070802E-2</v>
      </c>
      <c r="O13">
        <v>2.2583577847088469E-2</v>
      </c>
      <c r="P13">
        <v>2.337942680999704E-2</v>
      </c>
      <c r="Q13">
        <v>2.2892002072508959E-2</v>
      </c>
      <c r="R13">
        <v>2.3393738646524057E-2</v>
      </c>
      <c r="S13">
        <v>1.9299754140615961E-4</v>
      </c>
      <c r="T13">
        <v>-3.8263641034873607E-3</v>
      </c>
      <c r="U13">
        <v>-6.8981190333538265E-4</v>
      </c>
      <c r="V13">
        <v>7.1235480959855688E-3</v>
      </c>
      <c r="W13">
        <v>2.0240134493230085E-2</v>
      </c>
      <c r="X13">
        <v>2.900847469252215E-3</v>
      </c>
      <c r="Y13">
        <v>-3.0577227974967452E-2</v>
      </c>
      <c r="Z13">
        <v>-3.2334538136211295E-4</v>
      </c>
      <c r="AA13">
        <v>3.3688292908654223E-4</v>
      </c>
      <c r="AB13">
        <v>-3.7219805940814395E-6</v>
      </c>
      <c r="AC13">
        <v>2.1665134566944209E-2</v>
      </c>
      <c r="AD13">
        <v>2.4138334296959191E-2</v>
      </c>
      <c r="AE13">
        <v>2.348566473842784E-2</v>
      </c>
      <c r="AF13">
        <v>1.1811041869155955E-5</v>
      </c>
      <c r="AG13">
        <v>-2.6055819369037184E-2</v>
      </c>
    </row>
    <row r="14" spans="1:33" x14ac:dyDescent="0.2">
      <c r="A14" t="s">
        <v>117</v>
      </c>
      <c r="B14">
        <v>-0.18487126222746433</v>
      </c>
      <c r="C14">
        <v>3.3125687514082322E-3</v>
      </c>
      <c r="D14">
        <v>8.1410182062711467E-4</v>
      </c>
      <c r="E14">
        <v>-1.0545460686465905E-5</v>
      </c>
      <c r="F14">
        <v>-1.7372613015515966E-3</v>
      </c>
      <c r="G14">
        <v>-3.2732261501647797E-3</v>
      </c>
      <c r="H14">
        <v>2.3579557846384783E-2</v>
      </c>
      <c r="I14">
        <v>2.2717850942093887E-2</v>
      </c>
      <c r="J14">
        <v>2.4123851265106199E-2</v>
      </c>
      <c r="K14">
        <v>2.3313745503189869E-2</v>
      </c>
      <c r="L14">
        <v>2.1973385232574798E-2</v>
      </c>
      <c r="M14">
        <v>2.2690409858787508E-2</v>
      </c>
      <c r="N14">
        <v>2.2583577847088469E-2</v>
      </c>
      <c r="O14">
        <v>3.9711200872005019E-2</v>
      </c>
      <c r="P14">
        <v>2.3976524910963717E-2</v>
      </c>
      <c r="Q14">
        <v>2.4329828582813292E-2</v>
      </c>
      <c r="R14">
        <v>2.4458657332497361E-2</v>
      </c>
      <c r="S14">
        <v>-6.4837597553965147E-5</v>
      </c>
      <c r="T14">
        <v>-1.2051404056293677E-3</v>
      </c>
      <c r="U14">
        <v>3.0275377942769123E-3</v>
      </c>
      <c r="V14">
        <v>8.5305971974893851E-3</v>
      </c>
      <c r="W14">
        <v>2.1724281876753501E-2</v>
      </c>
      <c r="X14">
        <v>3.9210148154929809E-3</v>
      </c>
      <c r="Y14">
        <v>-3.5219939373073383E-2</v>
      </c>
      <c r="Z14">
        <v>6.7792494762856448E-4</v>
      </c>
      <c r="AA14">
        <v>1.1267035965423743E-4</v>
      </c>
      <c r="AB14">
        <v>-3.3215532610334538E-6</v>
      </c>
      <c r="AC14">
        <v>2.2118257657098767E-2</v>
      </c>
      <c r="AD14">
        <v>2.4977056080823658E-2</v>
      </c>
      <c r="AE14">
        <v>2.3742269651806869E-2</v>
      </c>
      <c r="AF14">
        <v>-1.8163732622652226E-4</v>
      </c>
      <c r="AG14">
        <v>-2.006196046549083E-2</v>
      </c>
    </row>
    <row r="15" spans="1:33" x14ac:dyDescent="0.2">
      <c r="A15" t="s">
        <v>118</v>
      </c>
      <c r="B15">
        <v>-0.21853624108533759</v>
      </c>
      <c r="C15">
        <v>1.7907142213042316E-3</v>
      </c>
      <c r="D15">
        <v>9.4892191053003866E-4</v>
      </c>
      <c r="E15">
        <v>-1.4084719169718788E-5</v>
      </c>
      <c r="F15">
        <v>-1.7463059030282889E-3</v>
      </c>
      <c r="G15">
        <v>-2.3100351698170539E-3</v>
      </c>
      <c r="H15">
        <v>2.4069596929519075E-2</v>
      </c>
      <c r="I15">
        <v>2.3128880654403761E-2</v>
      </c>
      <c r="J15">
        <v>2.5332995929640601E-2</v>
      </c>
      <c r="K15">
        <v>2.3755402325589352E-2</v>
      </c>
      <c r="L15">
        <v>2.243680753852886E-2</v>
      </c>
      <c r="M15">
        <v>2.3007120981395554E-2</v>
      </c>
      <c r="N15">
        <v>2.337942680999704E-2</v>
      </c>
      <c r="O15">
        <v>2.3976524910963717E-2</v>
      </c>
      <c r="P15">
        <v>5.2128752897199357E-2</v>
      </c>
      <c r="Q15">
        <v>2.5824076201165634E-2</v>
      </c>
      <c r="R15">
        <v>2.5842482348937233E-2</v>
      </c>
      <c r="S15">
        <v>2.5940815903473344E-4</v>
      </c>
      <c r="T15">
        <v>-3.3507878715013394E-3</v>
      </c>
      <c r="U15">
        <v>4.9538177232479616E-4</v>
      </c>
      <c r="V15">
        <v>7.8638282188272443E-3</v>
      </c>
      <c r="W15">
        <v>2.253654658918636E-2</v>
      </c>
      <c r="X15">
        <v>3.9584656502319234E-3</v>
      </c>
      <c r="Y15">
        <v>-4.2353122714640194E-2</v>
      </c>
      <c r="Z15">
        <v>4.6490989181348212E-4</v>
      </c>
      <c r="AA15">
        <v>-3.4166568748076904E-4</v>
      </c>
      <c r="AB15">
        <v>5.041642244502651E-6</v>
      </c>
      <c r="AC15">
        <v>2.2095673518296111E-2</v>
      </c>
      <c r="AD15">
        <v>2.5278286898356865E-2</v>
      </c>
      <c r="AE15">
        <v>2.4065451122654014E-2</v>
      </c>
      <c r="AF15">
        <v>1.1555094502398882E-4</v>
      </c>
      <c r="AG15">
        <v>-1.945695696695518E-2</v>
      </c>
    </row>
    <row r="16" spans="1:33" x14ac:dyDescent="0.2">
      <c r="A16" t="s">
        <v>105</v>
      </c>
      <c r="B16">
        <v>0.64321632479633362</v>
      </c>
      <c r="C16">
        <v>5.4557068510348826E-4</v>
      </c>
      <c r="D16">
        <v>1.7837676242999081E-3</v>
      </c>
      <c r="E16">
        <v>-2.9908499420554979E-5</v>
      </c>
      <c r="F16">
        <v>-3.4934466707548482E-4</v>
      </c>
      <c r="G16">
        <v>-4.3231812487450338E-3</v>
      </c>
      <c r="H16">
        <v>2.5488071763919286E-2</v>
      </c>
      <c r="I16">
        <v>2.3344228755703848E-2</v>
      </c>
      <c r="J16">
        <v>3.1860995131851845E-2</v>
      </c>
      <c r="K16">
        <v>2.4601817765340581E-2</v>
      </c>
      <c r="L16">
        <v>2.2720304469992125E-2</v>
      </c>
      <c r="M16">
        <v>2.395786757711162E-2</v>
      </c>
      <c r="N16">
        <v>2.2892002072508959E-2</v>
      </c>
      <c r="O16">
        <v>2.4329828582813292E-2</v>
      </c>
      <c r="P16">
        <v>2.5824076201165634E-2</v>
      </c>
      <c r="Q16">
        <v>0.1242302231196846</v>
      </c>
      <c r="R16">
        <v>3.1404604025873806E-2</v>
      </c>
      <c r="S16">
        <v>-1.1264213923090794E-3</v>
      </c>
      <c r="T16">
        <v>-4.5802093360953313E-3</v>
      </c>
      <c r="U16">
        <v>1.2071437974038256E-3</v>
      </c>
      <c r="V16">
        <v>9.3967068370480796E-3</v>
      </c>
      <c r="W16">
        <v>2.3568175859295992E-2</v>
      </c>
      <c r="X16">
        <v>3.5685635090861871E-3</v>
      </c>
      <c r="Y16">
        <v>-3.3667888391856929E-2</v>
      </c>
      <c r="Z16">
        <v>3.449475249519844E-4</v>
      </c>
      <c r="AA16">
        <v>-3.0187163906056358E-5</v>
      </c>
      <c r="AB16">
        <v>2.34010000295925E-7</v>
      </c>
      <c r="AC16">
        <v>2.1088533902618386E-2</v>
      </c>
      <c r="AD16">
        <v>2.6018377148873451E-2</v>
      </c>
      <c r="AE16">
        <v>2.3229726914776413E-2</v>
      </c>
      <c r="AF16">
        <v>-5.8091927522619605E-5</v>
      </c>
      <c r="AG16">
        <v>-2.0370274235733621E-2</v>
      </c>
    </row>
    <row r="17" spans="1:33" x14ac:dyDescent="0.2">
      <c r="A17" t="s">
        <v>106</v>
      </c>
      <c r="B17">
        <v>-0.74273764434959522</v>
      </c>
      <c r="C17">
        <v>-1.4972688739057257E-3</v>
      </c>
      <c r="D17">
        <v>-3.057793669508983E-3</v>
      </c>
      <c r="E17">
        <v>4.1880505346573471E-5</v>
      </c>
      <c r="F17">
        <v>-1.7154973084747647E-3</v>
      </c>
      <c r="G17">
        <v>-5.5637218132441159E-3</v>
      </c>
      <c r="H17">
        <v>2.6061251610079793E-2</v>
      </c>
      <c r="I17">
        <v>2.2989978278085996E-2</v>
      </c>
      <c r="J17">
        <v>3.1869452260732761E-2</v>
      </c>
      <c r="K17">
        <v>2.4840267419974586E-2</v>
      </c>
      <c r="L17">
        <v>2.2776462658415438E-2</v>
      </c>
      <c r="M17">
        <v>2.3797079850592748E-2</v>
      </c>
      <c r="N17">
        <v>2.3393738646524057E-2</v>
      </c>
      <c r="O17">
        <v>2.4458657332497361E-2</v>
      </c>
      <c r="P17">
        <v>2.5842482348937233E-2</v>
      </c>
      <c r="Q17">
        <v>3.1404604025873806E-2</v>
      </c>
      <c r="R17">
        <v>7.8225427204062073E-2</v>
      </c>
      <c r="S17">
        <v>-2.9933697644724693E-4</v>
      </c>
      <c r="T17">
        <v>-4.0303303751115229E-3</v>
      </c>
      <c r="U17">
        <v>2.7502983787540533E-3</v>
      </c>
      <c r="V17">
        <v>9.4576419104545721E-3</v>
      </c>
      <c r="W17">
        <v>2.5062980788843291E-2</v>
      </c>
      <c r="X17">
        <v>4.9359895614022667E-3</v>
      </c>
      <c r="Y17">
        <v>1.8330780762083419E-2</v>
      </c>
      <c r="Z17">
        <v>3.0282634068313488E-4</v>
      </c>
      <c r="AA17">
        <v>-5.797816156305792E-4</v>
      </c>
      <c r="AB17">
        <v>7.1508257654849191E-6</v>
      </c>
      <c r="AC17">
        <v>2.160724126368874E-2</v>
      </c>
      <c r="AD17">
        <v>2.4654074627423406E-2</v>
      </c>
      <c r="AE17">
        <v>2.6537578159388259E-2</v>
      </c>
      <c r="AF17">
        <v>-1.1731847548665205E-4</v>
      </c>
      <c r="AG17">
        <v>-1.0469143445862472E-2</v>
      </c>
    </row>
    <row r="18" spans="1:33" x14ac:dyDescent="0.2">
      <c r="A18" t="s">
        <v>133</v>
      </c>
      <c r="B18">
        <v>-4.3988276084517601E-2</v>
      </c>
      <c r="C18">
        <v>6.0184678145135389E-4</v>
      </c>
      <c r="D18">
        <v>-1.1293611947150615E-4</v>
      </c>
      <c r="E18">
        <v>1.3630680882970638E-6</v>
      </c>
      <c r="F18">
        <v>-1.431546828387674E-4</v>
      </c>
      <c r="G18">
        <v>2.453155688640589E-4</v>
      </c>
      <c r="H18">
        <v>-3.1298881182870869E-4</v>
      </c>
      <c r="I18">
        <v>1.9607036337508484E-4</v>
      </c>
      <c r="J18">
        <v>-6.7834953556318762E-4</v>
      </c>
      <c r="K18">
        <v>-2.2897898761873364E-4</v>
      </c>
      <c r="L18">
        <v>-8.8318988613182031E-5</v>
      </c>
      <c r="M18">
        <v>-2.804004440621069E-4</v>
      </c>
      <c r="N18">
        <v>1.9299754140615961E-4</v>
      </c>
      <c r="O18">
        <v>-6.4837597553965147E-5</v>
      </c>
      <c r="P18">
        <v>2.5940815903473344E-4</v>
      </c>
      <c r="Q18">
        <v>-1.1264213923090794E-3</v>
      </c>
      <c r="R18">
        <v>-2.9933697644724693E-4</v>
      </c>
      <c r="S18">
        <v>5.2603640923649247E-4</v>
      </c>
      <c r="T18">
        <v>-4.3027839572719144E-4</v>
      </c>
      <c r="U18">
        <v>-6.9465497004286478E-4</v>
      </c>
      <c r="V18">
        <v>-3.9117922042260407E-4</v>
      </c>
      <c r="W18">
        <v>3.623802056839291E-5</v>
      </c>
      <c r="X18">
        <v>-4.7981918915053848E-4</v>
      </c>
      <c r="Y18">
        <v>-7.0812657838196609E-3</v>
      </c>
      <c r="Z18">
        <v>2.063090454465299E-6</v>
      </c>
      <c r="AA18">
        <v>3.6838961827358158E-5</v>
      </c>
      <c r="AB18">
        <v>-6.1699804835189803E-7</v>
      </c>
      <c r="AC18">
        <v>-3.8736261392746196E-5</v>
      </c>
      <c r="AD18">
        <v>-5.5014754116567612E-5</v>
      </c>
      <c r="AE18">
        <v>-6.8958886332765902E-5</v>
      </c>
      <c r="AF18">
        <v>3.670619583711776E-5</v>
      </c>
      <c r="AG18">
        <v>-9.2428774225307778E-4</v>
      </c>
    </row>
    <row r="19" spans="1:33" x14ac:dyDescent="0.2">
      <c r="A19" t="s">
        <v>127</v>
      </c>
      <c r="B19">
        <v>-4.5405195870811474E-2</v>
      </c>
      <c r="C19">
        <v>-3.5635570275060393E-3</v>
      </c>
      <c r="D19">
        <v>-4.1795841370042815E-4</v>
      </c>
      <c r="E19">
        <v>2.9598749007747046E-6</v>
      </c>
      <c r="F19">
        <v>8.8219716910799891E-4</v>
      </c>
      <c r="G19">
        <v>1.4314191636055069E-3</v>
      </c>
      <c r="H19">
        <v>-2.9879194133631995E-3</v>
      </c>
      <c r="I19">
        <v>-4.3314904218044511E-3</v>
      </c>
      <c r="J19">
        <v>-4.436040539847321E-3</v>
      </c>
      <c r="K19">
        <v>-3.9607475608916523E-3</v>
      </c>
      <c r="L19">
        <v>-3.3544490486476222E-3</v>
      </c>
      <c r="M19">
        <v>-3.8767029986842162E-3</v>
      </c>
      <c r="N19">
        <v>-3.8263641034873607E-3</v>
      </c>
      <c r="O19">
        <v>-1.2051404056293677E-3</v>
      </c>
      <c r="P19">
        <v>-3.3507878715013394E-3</v>
      </c>
      <c r="Q19">
        <v>-4.5802093360953313E-3</v>
      </c>
      <c r="R19">
        <v>-4.0303303751115229E-3</v>
      </c>
      <c r="S19">
        <v>-4.3027839572719144E-4</v>
      </c>
      <c r="T19">
        <v>2.7977975201197908E-2</v>
      </c>
      <c r="U19">
        <v>4.039121949001287E-3</v>
      </c>
      <c r="V19">
        <v>-1.3665361986802413E-4</v>
      </c>
      <c r="W19">
        <v>-3.1228582739068027E-3</v>
      </c>
      <c r="X19">
        <v>-2.144366180750762E-3</v>
      </c>
      <c r="Y19">
        <v>1.7443524914397327E-2</v>
      </c>
      <c r="Z19">
        <v>1.4083683891270556E-4</v>
      </c>
      <c r="AA19">
        <v>-5.5815599525591356E-4</v>
      </c>
      <c r="AB19">
        <v>8.2777040804074567E-6</v>
      </c>
      <c r="AC19">
        <v>-1.3855313996024305E-3</v>
      </c>
      <c r="AD19">
        <v>-3.0198417357298964E-3</v>
      </c>
      <c r="AE19">
        <v>-3.208803207375913E-3</v>
      </c>
      <c r="AF19">
        <v>-5.1763237856154655E-4</v>
      </c>
      <c r="AG19">
        <v>1.6703698702399926E-2</v>
      </c>
    </row>
    <row r="20" spans="1:33" x14ac:dyDescent="0.2">
      <c r="A20" t="s">
        <v>128</v>
      </c>
      <c r="B20">
        <v>-7.4294877842719384E-3</v>
      </c>
      <c r="C20">
        <v>9.8041816356309367E-4</v>
      </c>
      <c r="D20">
        <v>-3.4500397645742195E-4</v>
      </c>
      <c r="E20">
        <v>7.7349166830915735E-6</v>
      </c>
      <c r="F20">
        <v>8.6466650156599375E-4</v>
      </c>
      <c r="G20">
        <v>-8.831417649525909E-6</v>
      </c>
      <c r="H20">
        <v>-8.6396307588117107E-4</v>
      </c>
      <c r="I20">
        <v>3.9483486936789857E-4</v>
      </c>
      <c r="J20">
        <v>4.2688122761103068E-3</v>
      </c>
      <c r="K20">
        <v>4.030710089769319E-4</v>
      </c>
      <c r="L20">
        <v>3.8418634849917031E-3</v>
      </c>
      <c r="M20">
        <v>8.5777956405559035E-4</v>
      </c>
      <c r="N20">
        <v>-6.8981190333538265E-4</v>
      </c>
      <c r="O20">
        <v>3.0275377942769123E-3</v>
      </c>
      <c r="P20">
        <v>4.9538177232479616E-4</v>
      </c>
      <c r="Q20">
        <v>1.2071437974038256E-3</v>
      </c>
      <c r="R20">
        <v>2.7502983787540533E-3</v>
      </c>
      <c r="S20">
        <v>-6.9465497004286478E-4</v>
      </c>
      <c r="T20">
        <v>4.039121949001287E-3</v>
      </c>
      <c r="U20">
        <v>3.2919700193469112E-2</v>
      </c>
      <c r="V20">
        <v>1.9234474782125826E-3</v>
      </c>
      <c r="W20">
        <v>-1.4491506371842368E-3</v>
      </c>
      <c r="X20">
        <v>-2.0298006285729298E-3</v>
      </c>
      <c r="Y20">
        <v>1.0847656626859686E-2</v>
      </c>
      <c r="Z20">
        <v>8.3861996036845195E-5</v>
      </c>
      <c r="AA20">
        <v>-3.7857223093931366E-4</v>
      </c>
      <c r="AB20">
        <v>7.7807585479992818E-6</v>
      </c>
      <c r="AC20">
        <v>4.5189299189976172E-4</v>
      </c>
      <c r="AD20">
        <v>2.7791442423203997E-3</v>
      </c>
      <c r="AE20">
        <v>2.7654111360704732E-5</v>
      </c>
      <c r="AF20">
        <v>-6.326045630059621E-4</v>
      </c>
      <c r="AG20">
        <v>1.1347514131106389E-2</v>
      </c>
    </row>
    <row r="21" spans="1:33" x14ac:dyDescent="0.2">
      <c r="A21" t="s">
        <v>119</v>
      </c>
      <c r="B21">
        <v>0.45087035665425657</v>
      </c>
      <c r="C21">
        <v>-4.5977164182410215E-4</v>
      </c>
      <c r="D21">
        <v>-1.3589635028095305E-3</v>
      </c>
      <c r="E21">
        <v>2.0662263900604839E-5</v>
      </c>
      <c r="F21">
        <v>-4.4321677146953904E-6</v>
      </c>
      <c r="G21">
        <v>-3.9281473080655981E-3</v>
      </c>
      <c r="H21">
        <v>8.7728127257238626E-3</v>
      </c>
      <c r="I21">
        <v>6.1779270524640372E-3</v>
      </c>
      <c r="J21">
        <v>7.4658635210555213E-3</v>
      </c>
      <c r="K21">
        <v>7.7529441183357929E-3</v>
      </c>
      <c r="L21">
        <v>6.4208839882093525E-3</v>
      </c>
      <c r="M21">
        <v>7.1956577294991358E-3</v>
      </c>
      <c r="N21">
        <v>7.1235480959855688E-3</v>
      </c>
      <c r="O21">
        <v>8.5305971974893851E-3</v>
      </c>
      <c r="P21">
        <v>7.8638282188272443E-3</v>
      </c>
      <c r="Q21">
        <v>9.3967068370480796E-3</v>
      </c>
      <c r="R21">
        <v>9.4576419104545721E-3</v>
      </c>
      <c r="S21">
        <v>-3.9117922042260407E-4</v>
      </c>
      <c r="T21">
        <v>-1.3665361986802413E-4</v>
      </c>
      <c r="U21">
        <v>1.9234474782125826E-3</v>
      </c>
      <c r="V21">
        <v>2.0131457822513833E-2</v>
      </c>
      <c r="W21">
        <v>9.0152269976446538E-3</v>
      </c>
      <c r="X21">
        <v>3.5778861818190405E-3</v>
      </c>
      <c r="Y21">
        <v>1.6604919114000784E-2</v>
      </c>
      <c r="Z21">
        <v>4.670335741011728E-5</v>
      </c>
      <c r="AA21">
        <v>-1.1109390343257916E-3</v>
      </c>
      <c r="AB21">
        <v>1.5733739730945986E-5</v>
      </c>
      <c r="AC21">
        <v>5.9555146604670347E-3</v>
      </c>
      <c r="AD21">
        <v>9.6869083205629106E-3</v>
      </c>
      <c r="AE21">
        <v>9.844877412415149E-3</v>
      </c>
      <c r="AF21">
        <v>-1.6182202610767288E-4</v>
      </c>
      <c r="AG21">
        <v>1.0212226640220368E-2</v>
      </c>
    </row>
    <row r="22" spans="1:33" x14ac:dyDescent="0.2">
      <c r="A22" t="s">
        <v>120</v>
      </c>
      <c r="B22">
        <v>-0.861596101506236</v>
      </c>
      <c r="C22">
        <v>2.5485860294321458E-3</v>
      </c>
      <c r="D22">
        <v>-1.6498625290695679E-3</v>
      </c>
      <c r="E22">
        <v>2.0133772340701717E-5</v>
      </c>
      <c r="F22">
        <v>5.7092530345528099E-4</v>
      </c>
      <c r="G22">
        <v>-3.1815206278808859E-3</v>
      </c>
      <c r="H22">
        <v>2.1999387819595026E-2</v>
      </c>
      <c r="I22">
        <v>1.9321753470498644E-2</v>
      </c>
      <c r="J22">
        <v>2.251333530444171E-2</v>
      </c>
      <c r="K22">
        <v>2.310951568371112E-2</v>
      </c>
      <c r="L22">
        <v>1.8467932206578455E-2</v>
      </c>
      <c r="M22">
        <v>1.9492461762414735E-2</v>
      </c>
      <c r="N22">
        <v>2.0240134493230085E-2</v>
      </c>
      <c r="O22">
        <v>2.1724281876753501E-2</v>
      </c>
      <c r="P22">
        <v>2.253654658918636E-2</v>
      </c>
      <c r="Q22">
        <v>2.3568175859295992E-2</v>
      </c>
      <c r="R22">
        <v>2.5062980788843291E-2</v>
      </c>
      <c r="S22">
        <v>3.623802056839291E-5</v>
      </c>
      <c r="T22">
        <v>-3.1228582739068027E-3</v>
      </c>
      <c r="U22">
        <v>-1.4491506371842368E-3</v>
      </c>
      <c r="V22">
        <v>9.0152269976446538E-3</v>
      </c>
      <c r="W22">
        <v>7.4109040260821699E-2</v>
      </c>
      <c r="X22">
        <v>6.1906248047415707E-3</v>
      </c>
      <c r="Y22">
        <v>-1.9071621761548524E-3</v>
      </c>
      <c r="Z22">
        <v>2.3452971160572257E-4</v>
      </c>
      <c r="AA22">
        <v>-6.6149754760908095E-4</v>
      </c>
      <c r="AB22">
        <v>4.3959576419357443E-6</v>
      </c>
      <c r="AC22">
        <v>1.9158647110971073E-2</v>
      </c>
      <c r="AD22">
        <v>3.0960871644895097E-2</v>
      </c>
      <c r="AE22">
        <v>2.2529652382188889E-2</v>
      </c>
      <c r="AF22">
        <v>3.5717020971798177E-4</v>
      </c>
      <c r="AG22">
        <v>-1.60322951520631E-2</v>
      </c>
    </row>
    <row r="23" spans="1:33" x14ac:dyDescent="0.2">
      <c r="A23" t="s">
        <v>121</v>
      </c>
      <c r="B23">
        <v>-0.16428306254050323</v>
      </c>
      <c r="C23">
        <v>3.7386249766737066E-3</v>
      </c>
      <c r="D23">
        <v>-1.4050920012601703E-3</v>
      </c>
      <c r="E23">
        <v>1.8507136605136702E-5</v>
      </c>
      <c r="F23">
        <v>1.3621918010558128E-3</v>
      </c>
      <c r="G23">
        <v>1.8775371567361042E-3</v>
      </c>
      <c r="H23">
        <v>3.9831604709029593E-3</v>
      </c>
      <c r="I23">
        <v>2.6839219539041377E-3</v>
      </c>
      <c r="J23">
        <v>4.3090413436590366E-3</v>
      </c>
      <c r="K23">
        <v>2.5840761369014457E-3</v>
      </c>
      <c r="L23">
        <v>-5.5090896806536107E-4</v>
      </c>
      <c r="M23">
        <v>2.7638341550699792E-3</v>
      </c>
      <c r="N23">
        <v>2.900847469252215E-3</v>
      </c>
      <c r="O23">
        <v>3.9210148154929809E-3</v>
      </c>
      <c r="P23">
        <v>3.9584656502319234E-3</v>
      </c>
      <c r="Q23">
        <v>3.5685635090861871E-3</v>
      </c>
      <c r="R23">
        <v>4.9359895614022667E-3</v>
      </c>
      <c r="S23">
        <v>-4.7981918915053848E-4</v>
      </c>
      <c r="T23">
        <v>-2.144366180750762E-3</v>
      </c>
      <c r="U23">
        <v>-2.0298006285729298E-3</v>
      </c>
      <c r="V23">
        <v>3.5778861818190405E-3</v>
      </c>
      <c r="W23">
        <v>6.1906248047415707E-3</v>
      </c>
      <c r="X23">
        <v>4.2411603115438269E-2</v>
      </c>
      <c r="Y23">
        <v>1.9616151504477264E-2</v>
      </c>
      <c r="Z23">
        <v>-1.1169057824136595E-3</v>
      </c>
      <c r="AA23">
        <v>-4.9539019403972815E-4</v>
      </c>
      <c r="AB23">
        <v>3.4810028625632157E-6</v>
      </c>
      <c r="AC23">
        <v>4.5576369168136817E-3</v>
      </c>
      <c r="AD23">
        <v>5.8648316382036913E-3</v>
      </c>
      <c r="AE23">
        <v>5.4029591225377843E-3</v>
      </c>
      <c r="AF23">
        <v>-9.0469357055360556E-5</v>
      </c>
      <c r="AG23">
        <v>4.6087980152366807E-3</v>
      </c>
    </row>
    <row r="24" spans="1:33" x14ac:dyDescent="0.2">
      <c r="A24" t="s">
        <v>63</v>
      </c>
      <c r="B24">
        <v>-5.284505865695162</v>
      </c>
      <c r="C24">
        <v>-7.2169175496015092E-2</v>
      </c>
      <c r="D24">
        <v>-0.1229340392232359</v>
      </c>
      <c r="E24">
        <v>1.6276532410102222E-3</v>
      </c>
      <c r="F24">
        <v>-1.0245655803689642E-2</v>
      </c>
      <c r="G24">
        <v>-3.9504381489285624E-2</v>
      </c>
      <c r="H24">
        <v>-1.6334310029905652E-2</v>
      </c>
      <c r="I24">
        <v>-6.7088191462231189E-2</v>
      </c>
      <c r="J24">
        <v>-3.4252743938638183E-2</v>
      </c>
      <c r="K24">
        <v>-2.8406995865970272E-2</v>
      </c>
      <c r="L24">
        <v>-3.3470050244586255E-2</v>
      </c>
      <c r="M24">
        <v>-3.0609448497556757E-2</v>
      </c>
      <c r="N24">
        <v>-3.0577227974967452E-2</v>
      </c>
      <c r="O24">
        <v>-3.5219939373073383E-2</v>
      </c>
      <c r="P24">
        <v>-4.2353122714640194E-2</v>
      </c>
      <c r="Q24">
        <v>-3.3667888391856929E-2</v>
      </c>
      <c r="R24">
        <v>1.8330780762083419E-2</v>
      </c>
      <c r="S24">
        <v>-7.0812657838196609E-3</v>
      </c>
      <c r="T24">
        <v>1.7443524914397327E-2</v>
      </c>
      <c r="U24">
        <v>1.0847656626859686E-2</v>
      </c>
      <c r="V24">
        <v>1.6604919114000784E-2</v>
      </c>
      <c r="W24">
        <v>-1.9071621761548524E-3</v>
      </c>
      <c r="X24">
        <v>1.9616151504477264E-2</v>
      </c>
      <c r="Y24">
        <v>1.9205518172265452</v>
      </c>
      <c r="Z24">
        <v>-5.6488534391373711E-3</v>
      </c>
      <c r="AA24">
        <v>-1.4454925548959198E-2</v>
      </c>
      <c r="AB24">
        <v>1.7979004505940346E-4</v>
      </c>
      <c r="AC24">
        <v>-2.0566598837147503E-2</v>
      </c>
      <c r="AD24">
        <v>-2.3776704502815944E-2</v>
      </c>
      <c r="AE24">
        <v>-2.1599954119005976E-2</v>
      </c>
      <c r="AF24">
        <v>-1.3376222067077274E-3</v>
      </c>
      <c r="AG24">
        <v>0.28036206579014677</v>
      </c>
    </row>
    <row r="25" spans="1:33" x14ac:dyDescent="0.2">
      <c r="A25" t="s">
        <v>129</v>
      </c>
      <c r="B25">
        <v>8.7228707549441842E-2</v>
      </c>
      <c r="C25">
        <v>1.2960660401075705E-3</v>
      </c>
      <c r="D25">
        <v>3.049743690001957E-4</v>
      </c>
      <c r="E25">
        <v>-3.8907544889419279E-6</v>
      </c>
      <c r="F25">
        <v>2.0840632631613379E-4</v>
      </c>
      <c r="G25">
        <v>5.8251317795822248E-4</v>
      </c>
      <c r="H25">
        <v>8.6137507454643201E-4</v>
      </c>
      <c r="I25">
        <v>5.9105389600134107E-4</v>
      </c>
      <c r="J25">
        <v>2.2630763841458967E-4</v>
      </c>
      <c r="K25">
        <v>-3.5956442970488381E-5</v>
      </c>
      <c r="L25">
        <v>4.6634552080649467E-4</v>
      </c>
      <c r="M25">
        <v>6.6770001695067374E-4</v>
      </c>
      <c r="N25">
        <v>-3.2334538136211295E-4</v>
      </c>
      <c r="O25">
        <v>6.7792494762856448E-4</v>
      </c>
      <c r="P25">
        <v>4.6490989181348212E-4</v>
      </c>
      <c r="Q25">
        <v>3.449475249519844E-4</v>
      </c>
      <c r="R25">
        <v>3.0282634068313488E-4</v>
      </c>
      <c r="S25">
        <v>2.063090454465299E-6</v>
      </c>
      <c r="T25">
        <v>1.4083683891270556E-4</v>
      </c>
      <c r="U25">
        <v>8.3861996036845195E-5</v>
      </c>
      <c r="V25">
        <v>4.670335741011728E-5</v>
      </c>
      <c r="W25">
        <v>2.3452971160572257E-4</v>
      </c>
      <c r="X25">
        <v>-1.1169057824136595E-3</v>
      </c>
      <c r="Y25">
        <v>-5.6488534391373711E-3</v>
      </c>
      <c r="Z25">
        <v>7.0910250846185864E-3</v>
      </c>
      <c r="AA25">
        <v>-3.295756830814546E-5</v>
      </c>
      <c r="AB25">
        <v>5.1972271024220302E-7</v>
      </c>
      <c r="AC25">
        <v>-3.039173018896035E-4</v>
      </c>
      <c r="AD25">
        <v>8.3559058772505188E-4</v>
      </c>
      <c r="AE25">
        <v>1.5292924934653864E-4</v>
      </c>
      <c r="AF25">
        <v>-5.3858466116422313E-6</v>
      </c>
      <c r="AG25">
        <v>-3.2793820114732433E-3</v>
      </c>
    </row>
    <row r="26" spans="1:33" x14ac:dyDescent="0.2">
      <c r="A26" t="s">
        <v>130</v>
      </c>
      <c r="B26">
        <v>1.1147671940833528</v>
      </c>
      <c r="C26">
        <v>1.4108071032041097E-4</v>
      </c>
      <c r="D26">
        <v>9.84399015309694E-4</v>
      </c>
      <c r="E26">
        <v>-1.266066467340291E-5</v>
      </c>
      <c r="F26">
        <v>1.6125756145748222E-4</v>
      </c>
      <c r="G26">
        <v>7.4526141838334153E-5</v>
      </c>
      <c r="H26">
        <v>-1.2833761654785798E-4</v>
      </c>
      <c r="I26">
        <v>6.1357704008941152E-5</v>
      </c>
      <c r="J26">
        <v>-3.2695558718489996E-5</v>
      </c>
      <c r="K26">
        <v>1.5771143463624675E-4</v>
      </c>
      <c r="L26">
        <v>-1.6847281262029595E-4</v>
      </c>
      <c r="M26">
        <v>1.7645287868079101E-4</v>
      </c>
      <c r="N26">
        <v>3.3688292908654223E-4</v>
      </c>
      <c r="O26">
        <v>1.1267035965423743E-4</v>
      </c>
      <c r="P26">
        <v>-3.4166568748076904E-4</v>
      </c>
      <c r="Q26">
        <v>-3.0187163906056358E-5</v>
      </c>
      <c r="R26">
        <v>-5.797816156305792E-4</v>
      </c>
      <c r="S26">
        <v>3.6838961827358158E-5</v>
      </c>
      <c r="T26">
        <v>-5.5815599525591356E-4</v>
      </c>
      <c r="U26">
        <v>-3.7857223093931366E-4</v>
      </c>
      <c r="V26">
        <v>-1.1109390343257916E-3</v>
      </c>
      <c r="W26">
        <v>-6.6149754760908095E-4</v>
      </c>
      <c r="X26">
        <v>-4.9539019403972815E-4</v>
      </c>
      <c r="Y26">
        <v>-1.4454925548959198E-2</v>
      </c>
      <c r="Z26">
        <v>-3.295756830814546E-5</v>
      </c>
      <c r="AA26">
        <v>3.1185798350998068E-3</v>
      </c>
      <c r="AB26">
        <v>-4.6881640480289085E-5</v>
      </c>
      <c r="AC26">
        <v>-6.93227918078047E-4</v>
      </c>
      <c r="AD26">
        <v>-7.2815027491171178E-4</v>
      </c>
      <c r="AE26">
        <v>-1.3614351953582689E-3</v>
      </c>
      <c r="AF26">
        <v>1.0088559094575825E-4</v>
      </c>
      <c r="AG26">
        <v>-4.5480007889915658E-2</v>
      </c>
    </row>
    <row r="27" spans="1:33" x14ac:dyDescent="0.2">
      <c r="A27" t="s">
        <v>131</v>
      </c>
      <c r="B27">
        <v>-1.4490874588703895E-2</v>
      </c>
      <c r="C27">
        <v>-2.2392802154557493E-6</v>
      </c>
      <c r="D27">
        <v>-1.2080897994598894E-5</v>
      </c>
      <c r="E27">
        <v>1.6013524068278764E-7</v>
      </c>
      <c r="F27">
        <v>-2.1310124880036566E-6</v>
      </c>
      <c r="G27">
        <v>-3.8387188934520166E-6</v>
      </c>
      <c r="H27">
        <v>1.420857613472307E-6</v>
      </c>
      <c r="I27">
        <v>-6.8788775005913523E-7</v>
      </c>
      <c r="J27">
        <v>2.1261220363804853E-7</v>
      </c>
      <c r="K27">
        <v>-1.4978714720951603E-6</v>
      </c>
      <c r="L27">
        <v>3.7202298523012327E-6</v>
      </c>
      <c r="M27">
        <v>-1.6243863309306218E-6</v>
      </c>
      <c r="N27">
        <v>-3.7219805940814395E-6</v>
      </c>
      <c r="O27">
        <v>-3.3215532610334538E-6</v>
      </c>
      <c r="P27">
        <v>5.041642244502651E-6</v>
      </c>
      <c r="Q27">
        <v>2.34010000295925E-7</v>
      </c>
      <c r="R27">
        <v>7.1508257654849191E-6</v>
      </c>
      <c r="S27">
        <v>-6.1699804835189803E-7</v>
      </c>
      <c r="T27">
        <v>8.2777040804074567E-6</v>
      </c>
      <c r="U27">
        <v>7.7807585479992818E-6</v>
      </c>
      <c r="V27">
        <v>1.5733739730945986E-5</v>
      </c>
      <c r="W27">
        <v>4.3959576419357443E-6</v>
      </c>
      <c r="X27">
        <v>3.4810028625632157E-6</v>
      </c>
      <c r="Y27">
        <v>1.7979004505940346E-4</v>
      </c>
      <c r="Z27">
        <v>5.1972271024220302E-7</v>
      </c>
      <c r="AA27">
        <v>-4.6881640480289085E-5</v>
      </c>
      <c r="AB27">
        <v>7.3419087349252226E-7</v>
      </c>
      <c r="AC27">
        <v>7.5825833094336423E-6</v>
      </c>
      <c r="AD27">
        <v>8.3090031779436171E-6</v>
      </c>
      <c r="AE27">
        <v>1.9321953155384197E-5</v>
      </c>
      <c r="AF27">
        <v>-1.3914707555810121E-6</v>
      </c>
      <c r="AG27">
        <v>6.6897823106935221E-4</v>
      </c>
    </row>
    <row r="28" spans="1:33" x14ac:dyDescent="0.2">
      <c r="A28" t="s">
        <v>107</v>
      </c>
      <c r="B28">
        <v>-0.46286116847873859</v>
      </c>
      <c r="C28">
        <v>1.6214221365740452E-3</v>
      </c>
      <c r="D28">
        <v>9.3142601437858769E-5</v>
      </c>
      <c r="E28">
        <v>-1.4683670928569939E-6</v>
      </c>
      <c r="F28">
        <v>-2.6049744255338047E-3</v>
      </c>
      <c r="G28">
        <v>-3.3271849165539972E-3</v>
      </c>
      <c r="H28">
        <v>2.1912014956947449E-2</v>
      </c>
      <c r="I28">
        <v>2.1326067715200341E-2</v>
      </c>
      <c r="J28">
        <v>2.3207631603708468E-2</v>
      </c>
      <c r="K28">
        <v>2.1679290271955969E-2</v>
      </c>
      <c r="L28">
        <v>2.0977289592497349E-2</v>
      </c>
      <c r="M28">
        <v>2.1202458081175848E-2</v>
      </c>
      <c r="N28">
        <v>2.1665134566944209E-2</v>
      </c>
      <c r="O28">
        <v>2.2118257657098767E-2</v>
      </c>
      <c r="P28">
        <v>2.2095673518296111E-2</v>
      </c>
      <c r="Q28">
        <v>2.1088533902618386E-2</v>
      </c>
      <c r="R28">
        <v>2.160724126368874E-2</v>
      </c>
      <c r="S28">
        <v>-3.8736261392746196E-5</v>
      </c>
      <c r="T28">
        <v>-1.3855313996024305E-3</v>
      </c>
      <c r="U28">
        <v>4.5189299189976172E-4</v>
      </c>
      <c r="V28">
        <v>5.9555146604670347E-3</v>
      </c>
      <c r="W28">
        <v>1.9158647110971073E-2</v>
      </c>
      <c r="X28">
        <v>4.5576369168136817E-3</v>
      </c>
      <c r="Y28">
        <v>-2.0566598837147503E-2</v>
      </c>
      <c r="Z28">
        <v>-3.039173018896035E-4</v>
      </c>
      <c r="AA28">
        <v>-6.93227918078047E-4</v>
      </c>
      <c r="AB28">
        <v>7.5825833094336423E-6</v>
      </c>
      <c r="AC28">
        <v>4.5150904801138605E-2</v>
      </c>
      <c r="AD28">
        <v>2.3733373116144822E-2</v>
      </c>
      <c r="AE28">
        <v>2.2978250825574476E-2</v>
      </c>
      <c r="AF28">
        <v>-2.2892280316057012E-4</v>
      </c>
      <c r="AG28">
        <v>-5.0459804949767872E-3</v>
      </c>
    </row>
    <row r="29" spans="1:33" x14ac:dyDescent="0.2">
      <c r="A29" t="s">
        <v>108</v>
      </c>
      <c r="B29">
        <v>-0.69714558168500984</v>
      </c>
      <c r="C29">
        <v>2.0130624537355603E-3</v>
      </c>
      <c r="D29">
        <v>2.7485496307928185E-5</v>
      </c>
      <c r="E29">
        <v>-2.7693450889420344E-7</v>
      </c>
      <c r="F29">
        <v>-1.0513495656048534E-3</v>
      </c>
      <c r="G29">
        <v>-3.1326169340320925E-3</v>
      </c>
      <c r="H29">
        <v>2.4904118447332806E-2</v>
      </c>
      <c r="I29">
        <v>2.3931387221926E-2</v>
      </c>
      <c r="J29">
        <v>2.373788606976724E-2</v>
      </c>
      <c r="K29">
        <v>2.4197919337062192E-2</v>
      </c>
      <c r="L29">
        <v>2.3070292919533358E-2</v>
      </c>
      <c r="M29">
        <v>2.3824463031427434E-2</v>
      </c>
      <c r="N29">
        <v>2.4138334296959191E-2</v>
      </c>
      <c r="O29">
        <v>2.4977056080823658E-2</v>
      </c>
      <c r="P29">
        <v>2.5278286898356865E-2</v>
      </c>
      <c r="Q29">
        <v>2.6018377148873451E-2</v>
      </c>
      <c r="R29">
        <v>2.4654074627423406E-2</v>
      </c>
      <c r="S29">
        <v>-5.5014754116567612E-5</v>
      </c>
      <c r="T29">
        <v>-3.0198417357298964E-3</v>
      </c>
      <c r="U29">
        <v>2.7791442423203997E-3</v>
      </c>
      <c r="V29">
        <v>9.6869083205629106E-3</v>
      </c>
      <c r="W29">
        <v>3.0960871644895097E-2</v>
      </c>
      <c r="X29">
        <v>5.8648316382036913E-3</v>
      </c>
      <c r="Y29">
        <v>-2.3776704502815944E-2</v>
      </c>
      <c r="Z29">
        <v>8.3559058772505188E-4</v>
      </c>
      <c r="AA29">
        <v>-7.2815027491171178E-4</v>
      </c>
      <c r="AB29">
        <v>8.3090031779436171E-6</v>
      </c>
      <c r="AC29">
        <v>2.3733373116144822E-2</v>
      </c>
      <c r="AD29">
        <v>5.5066717829193951E-2</v>
      </c>
      <c r="AE29">
        <v>2.6150702401878216E-2</v>
      </c>
      <c r="AF29">
        <v>-1.2036486230710769E-5</v>
      </c>
      <c r="AG29">
        <v>-1.3287454678107706E-2</v>
      </c>
    </row>
    <row r="30" spans="1:33" x14ac:dyDescent="0.2">
      <c r="A30" t="s">
        <v>109</v>
      </c>
      <c r="B30">
        <v>-8.350987592658568E-2</v>
      </c>
      <c r="C30">
        <v>1.9343270430958359E-3</v>
      </c>
      <c r="D30">
        <v>5.4043502212238088E-5</v>
      </c>
      <c r="E30">
        <v>-1.9349662563185679E-7</v>
      </c>
      <c r="F30">
        <v>-2.2312664743924949E-3</v>
      </c>
      <c r="G30">
        <v>-5.0464726281349665E-3</v>
      </c>
      <c r="H30">
        <v>2.4085959125737556E-2</v>
      </c>
      <c r="I30">
        <v>2.3012755912504637E-2</v>
      </c>
      <c r="J30">
        <v>2.2821582912794694E-2</v>
      </c>
      <c r="K30">
        <v>2.3686970460125217E-2</v>
      </c>
      <c r="L30">
        <v>2.245835152162224E-2</v>
      </c>
      <c r="M30">
        <v>2.296631368668043E-2</v>
      </c>
      <c r="N30">
        <v>2.348566473842784E-2</v>
      </c>
      <c r="O30">
        <v>2.3742269651806869E-2</v>
      </c>
      <c r="P30">
        <v>2.4065451122654014E-2</v>
      </c>
      <c r="Q30">
        <v>2.3229726914776413E-2</v>
      </c>
      <c r="R30">
        <v>2.6537578159388259E-2</v>
      </c>
      <c r="S30">
        <v>-6.8958886332765902E-5</v>
      </c>
      <c r="T30">
        <v>-3.208803207375913E-3</v>
      </c>
      <c r="U30">
        <v>2.7654111360704732E-5</v>
      </c>
      <c r="V30">
        <v>9.844877412415149E-3</v>
      </c>
      <c r="W30">
        <v>2.2529652382188889E-2</v>
      </c>
      <c r="X30">
        <v>5.4029591225377843E-3</v>
      </c>
      <c r="Y30">
        <v>-2.1599954119005976E-2</v>
      </c>
      <c r="Z30">
        <v>1.5292924934653864E-4</v>
      </c>
      <c r="AA30">
        <v>-1.3614351953582689E-3</v>
      </c>
      <c r="AB30">
        <v>1.9321953155384197E-5</v>
      </c>
      <c r="AC30">
        <v>2.2978250825574476E-2</v>
      </c>
      <c r="AD30">
        <v>2.6150702401878216E-2</v>
      </c>
      <c r="AE30">
        <v>4.4683591283674051E-2</v>
      </c>
      <c r="AF30">
        <v>-1.6630800433954413E-4</v>
      </c>
      <c r="AG30">
        <v>6.2016452664274274E-4</v>
      </c>
    </row>
    <row r="31" spans="1:33" x14ac:dyDescent="0.2">
      <c r="A31" t="s">
        <v>134</v>
      </c>
      <c r="B31">
        <v>2.4101308431316013E-2</v>
      </c>
      <c r="C31">
        <v>2.4415076032832959E-5</v>
      </c>
      <c r="D31">
        <v>5.283096314924636E-5</v>
      </c>
      <c r="E31">
        <v>-7.3495469649284584E-7</v>
      </c>
      <c r="F31">
        <v>1.1258851767712453E-4</v>
      </c>
      <c r="G31">
        <v>1.7632230860160626E-4</v>
      </c>
      <c r="H31">
        <v>-1.3716259627251154E-4</v>
      </c>
      <c r="I31">
        <v>-5.8930448178714633E-5</v>
      </c>
      <c r="J31">
        <v>-1.2295187321286068E-4</v>
      </c>
      <c r="K31">
        <v>-4.7570896186856964E-5</v>
      </c>
      <c r="L31">
        <v>-1.8080930099236144E-4</v>
      </c>
      <c r="M31">
        <v>-1.7285322435253844E-4</v>
      </c>
      <c r="N31">
        <v>1.1811041869155955E-5</v>
      </c>
      <c r="O31">
        <v>-1.8163732622652226E-4</v>
      </c>
      <c r="P31">
        <v>1.1555094502398882E-4</v>
      </c>
      <c r="Q31">
        <v>-5.8091927522619605E-5</v>
      </c>
      <c r="R31">
        <v>-1.1731847548665205E-4</v>
      </c>
      <c r="S31">
        <v>3.670619583711776E-5</v>
      </c>
      <c r="T31">
        <v>-5.1763237856154655E-4</v>
      </c>
      <c r="U31">
        <v>-6.326045630059621E-4</v>
      </c>
      <c r="V31">
        <v>-1.6182202610767288E-4</v>
      </c>
      <c r="W31">
        <v>3.5717020971798177E-4</v>
      </c>
      <c r="X31">
        <v>-9.0469357055360556E-5</v>
      </c>
      <c r="Y31">
        <v>-1.3376222067077274E-3</v>
      </c>
      <c r="Z31">
        <v>-5.3858466116422313E-6</v>
      </c>
      <c r="AA31">
        <v>1.0088559094575825E-4</v>
      </c>
      <c r="AB31">
        <v>-1.3914707555810121E-6</v>
      </c>
      <c r="AC31">
        <v>-2.2892280316057012E-4</v>
      </c>
      <c r="AD31">
        <v>-1.2036486230710769E-5</v>
      </c>
      <c r="AE31">
        <v>-1.6630800433954413E-4</v>
      </c>
      <c r="AF31">
        <v>1.6040825283229737E-4</v>
      </c>
      <c r="AG31">
        <v>-4.1016079074119791E-3</v>
      </c>
    </row>
    <row r="32" spans="1:33" x14ac:dyDescent="0.2">
      <c r="A32" t="s">
        <v>68</v>
      </c>
      <c r="B32">
        <v>-17.698016356937142</v>
      </c>
      <c r="C32">
        <v>-5.4443405875344401E-3</v>
      </c>
      <c r="D32">
        <v>-1.6776751799182268E-2</v>
      </c>
      <c r="E32">
        <v>2.1417811935791947E-4</v>
      </c>
      <c r="F32">
        <v>-1.0833100296768844E-2</v>
      </c>
      <c r="G32">
        <v>-7.7013362123726919E-3</v>
      </c>
      <c r="H32">
        <v>-1.7679969802848097E-2</v>
      </c>
      <c r="I32">
        <v>-2.1496533131499795E-2</v>
      </c>
      <c r="J32">
        <v>-1.8593067563739296E-2</v>
      </c>
      <c r="K32">
        <v>-2.332393992921751E-2</v>
      </c>
      <c r="L32">
        <v>-1.5789504218052738E-2</v>
      </c>
      <c r="M32">
        <v>-2.1493979072359379E-2</v>
      </c>
      <c r="N32">
        <v>-2.6055819369037184E-2</v>
      </c>
      <c r="O32">
        <v>-2.006196046549083E-2</v>
      </c>
      <c r="P32">
        <v>-1.945695696695518E-2</v>
      </c>
      <c r="Q32">
        <v>-2.0370274235733621E-2</v>
      </c>
      <c r="R32">
        <v>-1.0469143445862472E-2</v>
      </c>
      <c r="S32">
        <v>-9.2428774225307778E-4</v>
      </c>
      <c r="T32">
        <v>1.6703698702399926E-2</v>
      </c>
      <c r="U32">
        <v>1.1347514131106389E-2</v>
      </c>
      <c r="V32">
        <v>1.0212226640220368E-2</v>
      </c>
      <c r="W32">
        <v>-1.60322951520631E-2</v>
      </c>
      <c r="X32">
        <v>4.6087980152366807E-3</v>
      </c>
      <c r="Y32">
        <v>0.28036206579014677</v>
      </c>
      <c r="Z32">
        <v>-3.2793820114732433E-3</v>
      </c>
      <c r="AA32">
        <v>-4.5480007889915658E-2</v>
      </c>
      <c r="AB32">
        <v>6.6897823106935221E-4</v>
      </c>
      <c r="AC32">
        <v>-5.0459804949767872E-3</v>
      </c>
      <c r="AD32">
        <v>-1.3287454678107706E-2</v>
      </c>
      <c r="AE32">
        <v>6.2016452664274274E-4</v>
      </c>
      <c r="AF32">
        <v>-4.1016079074119791E-3</v>
      </c>
      <c r="AG32">
        <v>0.74179491728435254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E1a_comp</vt:lpstr>
      <vt:lpstr>E1b_comp</vt:lpstr>
      <vt:lpstr>E2_comp</vt:lpstr>
      <vt:lpstr>Info</vt:lpstr>
      <vt:lpstr>Gof</vt:lpstr>
      <vt:lpstr>E1a_orig</vt:lpstr>
      <vt:lpstr>E1b_orig</vt:lpstr>
      <vt:lpstr>E2_orig_raw</vt:lpstr>
      <vt:lpstr>E2_orig</vt:lpstr>
      <vt:lpstr>E1a</vt:lpstr>
      <vt:lpstr>E1b</vt:lpstr>
      <vt:lpstr>E2_raw</vt:lpstr>
      <vt:lpstr>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2026-05-29T14:30:32Z</dcterms:modified>
</cp:coreProperties>
</file>